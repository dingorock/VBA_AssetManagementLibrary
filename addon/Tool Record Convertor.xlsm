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05" windowWidth="15000" windowHeight="8610" tabRatio="380" activeTab="6"/>
  </bookViews>
  <sheets>
    <sheet name="MENU" sheetId="6" r:id="rId1"/>
    <sheet name="ToolRecordBookmarks" sheetId="1" r:id="rId2"/>
    <sheet name="AssetSummary" sheetId="2" state="hidden" r:id="rId3"/>
    <sheet name="Dataload MA-Activity Assocation" sheetId="5" state="hidden" r:id="rId4"/>
    <sheet name="Dataload Capital" sheetId="4" state="hidden" r:id="rId5"/>
    <sheet name="Dataload Rebuildable" sheetId="3" state="hidden" r:id="rId6"/>
    <sheet name="ToolRecordsXML" sheetId="8" r:id="rId7"/>
    <sheet name="ContentControlMap" sheetId="7" state="hidden" r:id="rId8"/>
    <sheet name="BookmarksPreV9" sheetId="9" state="hidden" r:id="rId9"/>
  </sheets>
  <functionGroups builtInGroupCount="17"/>
  <definedNames>
    <definedName name="_xlnm._FilterDatabase" localSheetId="7" hidden="1">ContentControlMap!$A$2:$F$170</definedName>
    <definedName name="_xlnm._FilterDatabase" localSheetId="1" hidden="1">ToolRecordBookmarks!$B$1:$P$1</definedName>
    <definedName name="_xlnm._FilterDatabase" localSheetId="6" hidden="1">ToolRecordsXML!$A$1:$BZ$98</definedName>
    <definedName name="bookmarkTitles">BookmarksPreV9!$A$1:$A$59</definedName>
    <definedName name="ContentTitles">OFFSET(ContentControlMap!$B$3,0,0,MAX(ContentControlMap!$A:$A),2)</definedName>
    <definedName name="_xlnm.Print_Titles" localSheetId="7">ContentControlMap!$2:$2</definedName>
    <definedName name="_xlnm.Print_Titles" localSheetId="6">ToolRecordsXML!$1:$1</definedName>
  </definedNames>
  <calcPr calcId="145621"/>
</workbook>
</file>

<file path=xl/calcChain.xml><?xml version="1.0" encoding="utf-8"?>
<calcChain xmlns="http://schemas.openxmlformats.org/spreadsheetml/2006/main">
  <c r="D21" i="8" l="1"/>
  <c r="E21" i="8"/>
  <c r="D20" i="8"/>
  <c r="E20" i="8"/>
  <c r="D19" i="8"/>
  <c r="E19" i="8"/>
  <c r="D18" i="8"/>
  <c r="E18" i="8"/>
  <c r="D17" i="8"/>
  <c r="E17" i="8"/>
  <c r="D16" i="8"/>
  <c r="E16" i="8"/>
  <c r="D15" i="8"/>
  <c r="E15" i="8"/>
  <c r="D14" i="8"/>
  <c r="E14" i="8"/>
  <c r="D13" i="8"/>
  <c r="E13" i="8"/>
  <c r="D12" i="8"/>
  <c r="E12" i="8"/>
  <c r="D11" i="8"/>
  <c r="E11" i="8"/>
  <c r="D10" i="8" l="1"/>
  <c r="E10" i="8"/>
  <c r="E2" i="8" l="1"/>
  <c r="E3" i="8"/>
  <c r="E4" i="8"/>
  <c r="E5" i="8"/>
  <c r="E6" i="8"/>
  <c r="E7" i="8"/>
  <c r="E8" i="8"/>
  <c r="E9" i="8"/>
  <c r="D2" i="8"/>
  <c r="D3" i="8"/>
  <c r="D4" i="8"/>
  <c r="D5" i="8"/>
  <c r="D6" i="8"/>
  <c r="D7" i="8"/>
  <c r="D8" i="8"/>
  <c r="D9" i="8"/>
  <c r="X3" i="5" l="1"/>
  <c r="X4" i="5"/>
  <c r="X5" i="5"/>
  <c r="X6" i="5"/>
  <c r="X2" i="5"/>
  <c r="A2" i="4" l="1"/>
  <c r="F1" i="3"/>
  <c r="A1" i="3"/>
</calcChain>
</file>

<file path=xl/comments1.xml><?xml version="1.0" encoding="utf-8"?>
<comments xmlns="http://schemas.openxmlformats.org/spreadsheetml/2006/main">
  <authors>
    <author>Tom Doyle</author>
  </authors>
  <commentList>
    <comment ref="A2" authorId="0">
      <text>
        <r>
          <rPr>
            <b/>
            <sz val="8"/>
            <color indexed="81"/>
            <rFont val="Tahoma"/>
            <family val="2"/>
          </rPr>
          <t>8</t>
        </r>
      </text>
    </comment>
    <comment ref="A3" authorId="0">
      <text>
        <r>
          <rPr>
            <b/>
            <sz val="8"/>
            <color indexed="81"/>
            <rFont val="Tahoma"/>
            <family val="2"/>
          </rPr>
          <t>8</t>
        </r>
      </text>
    </comment>
    <comment ref="A4" authorId="0">
      <text>
        <r>
          <rPr>
            <b/>
            <sz val="8"/>
            <color indexed="81"/>
            <rFont val="Tahoma"/>
            <family val="2"/>
          </rPr>
          <t>7</t>
        </r>
      </text>
    </comment>
    <comment ref="A5" authorId="0">
      <text>
        <r>
          <rPr>
            <b/>
            <sz val="8"/>
            <color indexed="81"/>
            <rFont val="Tahoma"/>
            <family val="2"/>
          </rPr>
          <t>7</t>
        </r>
      </text>
    </comment>
    <comment ref="A6" authorId="0">
      <text>
        <r>
          <rPr>
            <b/>
            <sz val="8"/>
            <color indexed="81"/>
            <rFont val="Tahoma"/>
            <family val="2"/>
          </rPr>
          <t>6</t>
        </r>
      </text>
    </comment>
    <comment ref="A7" authorId="0">
      <text>
        <r>
          <rPr>
            <b/>
            <sz val="8"/>
            <color indexed="81"/>
            <rFont val="Tahoma"/>
            <family val="2"/>
          </rPr>
          <t>6</t>
        </r>
      </text>
    </comment>
    <comment ref="A8" authorId="0">
      <text>
        <r>
          <rPr>
            <b/>
            <sz val="8"/>
            <color indexed="81"/>
            <rFont val="Tahoma"/>
            <family val="2"/>
          </rPr>
          <t>5</t>
        </r>
      </text>
    </comment>
    <comment ref="B8" authorId="0">
      <text>
        <r>
          <rPr>
            <b/>
            <sz val="8"/>
            <color indexed="81"/>
            <rFont val="Tahoma"/>
            <family val="2"/>
          </rPr>
          <t>5</t>
        </r>
      </text>
    </comment>
    <comment ref="A9" authorId="0">
      <text>
        <r>
          <rPr>
            <b/>
            <sz val="8"/>
            <color indexed="81"/>
            <rFont val="Tahoma"/>
            <family val="2"/>
          </rPr>
          <t>5</t>
        </r>
      </text>
    </comment>
  </commentList>
</comments>
</file>

<file path=xl/connections.xml><?xml version="1.0" encoding="utf-8"?>
<connections xmlns="http://schemas.openxmlformats.org/spreadsheetml/2006/main">
  <connection id="1" name="TOOLRECORDSDATA_EXPORT" type="4" refreshedVersion="0" background="1">
    <webPr xml="1" sourceData="1" url="C:\temp\TOOLRECORDSDATA_EXPORT.xml" htmlTables="1" htmlFormat="all"/>
  </connection>
</connections>
</file>

<file path=xl/sharedStrings.xml><?xml version="1.0" encoding="utf-8"?>
<sst xmlns="http://schemas.openxmlformats.org/spreadsheetml/2006/main" count="2900" uniqueCount="363">
  <si>
    <t>_x0015_</t>
  </si>
  <si>
    <t>     </t>
  </si>
  <si>
    <t>Document Issue</t>
  </si>
  <si>
    <t>Document Number</t>
  </si>
  <si>
    <t>Tool Number</t>
  </si>
  <si>
    <t>Maintenance Frequency</t>
  </si>
  <si>
    <t>Calibration Frequency</t>
  </si>
  <si>
    <t>Cochlear Ltd</t>
  </si>
  <si>
    <t>Calibration_freq</t>
  </si>
  <si>
    <t>Check1</t>
  </si>
  <si>
    <t>Check2</t>
  </si>
  <si>
    <t>Check3</t>
  </si>
  <si>
    <t>Check4</t>
  </si>
  <si>
    <t>Check5</t>
  </si>
  <si>
    <t>Check7</t>
  </si>
  <si>
    <t>Check8</t>
  </si>
  <si>
    <t>Document_no</t>
  </si>
  <si>
    <t>Equip_Name</t>
  </si>
  <si>
    <t>Equip_no</t>
  </si>
  <si>
    <t>Issue_Number</t>
  </si>
  <si>
    <t>Maint_freq</t>
  </si>
  <si>
    <t>Mod_Date</t>
  </si>
  <si>
    <t>Text1</t>
  </si>
  <si>
    <t>Text2</t>
  </si>
  <si>
    <t>Text4</t>
  </si>
  <si>
    <t>8</t>
  </si>
  <si>
    <t>T331418</t>
  </si>
  <si>
    <t>Analytical Balance</t>
  </si>
  <si>
    <t>XP204</t>
  </si>
  <si>
    <t>Mettler Toledo</t>
  </si>
  <si>
    <t>Address: 1/27 Binnery Road, Kings Park 2148_x000D_Email: yumna.kassab@mt.com, _x000D_Phone: 0400599433</t>
  </si>
  <si>
    <t>N/A</t>
  </si>
  <si>
    <t>22/06/2011</t>
  </si>
  <si>
    <t>Mettler Toledo NATA Certified Technician</t>
  </si>
  <si>
    <t>daily automated internal adjustment, and no access to manual adjustment</t>
  </si>
  <si>
    <t>not recommended by manufacturer - rather as required</t>
  </si>
  <si>
    <t>C:\Documents and Settings\TDoyle\My Documents\Balance Tool Record.docx</t>
  </si>
  <si>
    <t>Manufacturer / Model Number</t>
  </si>
  <si>
    <t>Equipment / Tool Vendor(s)</t>
  </si>
  <si>
    <t>Vendor Contact Detail(s)</t>
  </si>
  <si>
    <t>Manufacturers Manual - Windchill Reference</t>
  </si>
  <si>
    <t>Manufacturers Manual - Cochlear Library</t>
  </si>
  <si>
    <t>Calibration Required</t>
  </si>
  <si>
    <r>
      <t xml:space="preserve">Calibration </t>
    </r>
    <r>
      <rPr>
        <b/>
        <u/>
        <sz val="10"/>
        <color theme="1"/>
        <rFont val="Calibri"/>
        <family val="2"/>
        <scheme val="minor"/>
      </rPr>
      <t>not</t>
    </r>
    <r>
      <rPr>
        <b/>
        <sz val="10"/>
        <color theme="1"/>
        <rFont val="Calibri"/>
        <family val="2"/>
        <scheme val="minor"/>
      </rPr>
      <t xml:space="preserve"> Required</t>
    </r>
  </si>
  <si>
    <t>Maintenance Required</t>
  </si>
  <si>
    <t>Last Modified</t>
  </si>
  <si>
    <t>IQ Required</t>
  </si>
  <si>
    <t>Exempt from IQ</t>
  </si>
  <si>
    <t>IQ Not Required As: {Check}</t>
  </si>
  <si>
    <t>IQ Not Required As: {Text}</t>
  </si>
  <si>
    <t>Calibration Performed</t>
  </si>
  <si>
    <t>Calibration Performed: By Contractor</t>
  </si>
  <si>
    <t>Calibration Performed: By M&amp;C Staff</t>
  </si>
  <si>
    <t>Calibration not Required</t>
  </si>
  <si>
    <t>Calibration not Required: Not for Measure, Inspect or Test</t>
  </si>
  <si>
    <t>Calibration not Required: No effect on Product Specification</t>
  </si>
  <si>
    <t>Calibration not Required: No effect on Accuracy</t>
  </si>
  <si>
    <t>Calibration not Required: Other Reason</t>
  </si>
  <si>
    <t>Calibration Performed By Contractor Name</t>
  </si>
  <si>
    <t>Calibration Frequency Other: Details</t>
  </si>
  <si>
    <t>Calibration not Required: Other Reason Details</t>
  </si>
  <si>
    <t>Calibration Frequency Based on</t>
  </si>
  <si>
    <t>Calibration Safeguard (Protection): N/A Calibration Not Required</t>
  </si>
  <si>
    <t>Calibration Safeguard (Protection): N/A No External Adjustment</t>
  </si>
  <si>
    <t>Calibration Safeguard (Protection): N/A No External Adjustment can be made during operation</t>
  </si>
  <si>
    <t xml:space="preserve">Calibration Safeguard (Protection): Adjustment is protected </t>
  </si>
  <si>
    <t>Calibration Safeguard (Protection): Adjustment is protected Details</t>
  </si>
  <si>
    <t>Calibration Safeguard (Protection): Not Required Other Details</t>
  </si>
  <si>
    <t>Calibration Safeguard (Protection): Not Required Other</t>
  </si>
  <si>
    <t>Maintenance Performed</t>
  </si>
  <si>
    <t>Maintenance Performed: By an Approved Contractor</t>
  </si>
  <si>
    <t>Maintenance Performed: By M&amp;C Staff</t>
  </si>
  <si>
    <t>Maintenance Performed: By an Approved Contractor Details</t>
  </si>
  <si>
    <t>Maintenance Not Required</t>
  </si>
  <si>
    <t>Maintenance Not Required: No Elements require Maintenance</t>
  </si>
  <si>
    <t>Maintenance Not Required: Carried out by Operators</t>
  </si>
  <si>
    <t>Maintenance Not Required: Carried out by Operators Equipment Care Sheets Reference</t>
  </si>
  <si>
    <t>Maintenance Not Required: Other</t>
  </si>
  <si>
    <t>Maintenance Not Required: Other Details</t>
  </si>
  <si>
    <t>Maintenance  Frequency Other: Details</t>
  </si>
  <si>
    <t>Maintenance  Frequency Based on</t>
  </si>
  <si>
    <t>Recommended Spare Parts: List in Windchill</t>
  </si>
  <si>
    <t>Recommended Spare Parts: List in Windchill Reference Number</t>
  </si>
  <si>
    <t>Recommended Spare Parts: Not Required</t>
  </si>
  <si>
    <t>Recommended Spare Parts: Not Required Duplicate Tool used as spare</t>
  </si>
  <si>
    <t>Recommended Spare Parts: Not Required Other</t>
  </si>
  <si>
    <t>Recommended Spare Parts: Not Required Other Details</t>
  </si>
  <si>
    <t>File Path</t>
  </si>
  <si>
    <t>Its really required. I can't deny.</t>
  </si>
  <si>
    <t>It's really up to you. 2 weekly?</t>
  </si>
  <si>
    <t>Some other importatnt info about frequency</t>
  </si>
  <si>
    <t>NO SAFEGUARDS !!!</t>
  </si>
  <si>
    <t>VMS - OR TJD</t>
  </si>
  <si>
    <t>ECS - 999443</t>
  </si>
  <si>
    <t>you choose then</t>
  </si>
  <si>
    <t>more details about it…</t>
  </si>
  <si>
    <t>my idea</t>
  </si>
  <si>
    <t>T145948</t>
  </si>
  <si>
    <t>Heat Sealing Machine, Medipacker TS 3535</t>
  </si>
  <si>
    <t xml:space="preserve">Medipack AG/Medipacker TS 3535 </t>
  </si>
  <si>
    <t>Sabre Medical</t>
  </si>
  <si>
    <t xml:space="preserve">Sabre Medical Pty Ltd_x000D__x000D_PO Box 3008_x000D_Lindfield NSW 2070_x000D_Australia _x000D__x000D_Phone: +61 2 9880 7500 _x000D_mail@sabregroup.com.au </t>
  </si>
  <si>
    <t xml:space="preserve">Adequate training to personnel must be provided to protect from adjustments, which may cause the calibration to be invalidated. Touch screen controls are password protected. M&amp;C personnel are provided with the password.  No other tampering with the equipment is possible by non-designated personnel. </t>
  </si>
  <si>
    <t xml:space="preserve">Maintenance to be performed once a year. The compressed-air filter on the compressed-air connection of the machine must be checked for residue. If necessary, the filter must be changed. </t>
  </si>
  <si>
    <t>C:\Documents and Settings\TDoyle\My Documents\Tool Record t6, Sealing Machine.doc</t>
  </si>
  <si>
    <t>6</t>
  </si>
  <si>
    <t>Template Version</t>
  </si>
  <si>
    <t>Txxxxxx</t>
  </si>
  <si>
    <t>Equipment Name Here . . . . . . . . . . . .</t>
  </si>
  <si>
    <t>Address, Email, Phone</t>
  </si>
  <si>
    <t>xxxxxx</t>
  </si>
  <si>
    <t>#xxxxxx</t>
  </si>
  <si>
    <t>C:\Documents and Settings\TDoyle\My Documents\119530 Tool Record Template Issue 8.docx</t>
  </si>
  <si>
    <t>7</t>
  </si>
  <si>
    <t>Select from menu</t>
  </si>
  <si>
    <t>T221772</t>
  </si>
  <si>
    <t>UV-2450 single monochromator UV-VIS Spectrometer</t>
  </si>
  <si>
    <t>UV-2450 (PC) S CE 230V S/N A10834337037</t>
  </si>
  <si>
    <t>Shimadzu Corporation</t>
  </si>
  <si>
    <t>Henry Chan, Sales Engineer,Shimadzu Australasia,_x000D_Unit F, 10-16 South Street, Rydalmere. NSW 2116 Australia _x000D_phone: +61 2 9684 4200 I  fax: +61 2 9684 4055 _x000D_email: henry.chan@shimadzu.com.au_x000D_</t>
  </si>
  <si>
    <t>UV-2450: 224351 Sipper 160T: 354265_x000D_</t>
  </si>
  <si>
    <t>2D</t>
  </si>
  <si>
    <t>The instruments accuracy is being checked as part of the annual maintenance service conducted by an approved contractor (Shimadzu). In case the instrument's accuracy is found to be out of it's specifications, all faulty internal parts causing the issue will be identified and replaced by new ones.</t>
  </si>
  <si>
    <t xml:space="preserve">Lorenz Sonderegger, Customer support engineer, Shimadzu Australasia. Phone: +61 2 9684 4200; email: lorenz.sonderegger@shimadzu.com.au </t>
  </si>
  <si>
    <t>C:\Documents and Settings\TDoyle\My Documents\Tool Records\UV2450 Spectrometer_2D.docx</t>
  </si>
  <si>
    <t>Tool Name</t>
  </si>
  <si>
    <r>
      <t xml:space="preserve">Maintenance </t>
    </r>
    <r>
      <rPr>
        <b/>
        <u/>
        <sz val="10"/>
        <color theme="1"/>
        <rFont val="Calibri"/>
        <family val="2"/>
        <scheme val="minor"/>
      </rPr>
      <t>not</t>
    </r>
    <r>
      <rPr>
        <b/>
        <sz val="10"/>
        <color theme="1"/>
        <rFont val="Calibri"/>
        <family val="2"/>
        <scheme val="minor"/>
      </rPr>
      <t xml:space="preserve"> Required</t>
    </r>
  </si>
  <si>
    <t xml:space="preserve">Touch screen controls are password protected. M&amp;C personnel are provided with the password.  No other tampering with the equipment is possible by non-designated personnel. </t>
  </si>
  <si>
    <t>T51754</t>
  </si>
  <si>
    <t>Syringe Pump</t>
  </si>
  <si>
    <t>KdScientific model 410 series syringe pumps User’s Manual Pub#5605-001-Rev-A</t>
  </si>
  <si>
    <t>#3088</t>
  </si>
  <si>
    <t>24/10/2011</t>
  </si>
  <si>
    <t>The tool is classed as non-critical, any variation in equipment performance detectable through inspection of the finished product.</t>
  </si>
  <si>
    <t>C:\Documents and Settings\TDoyle\My Documents\Tool Records\202696 SYRINGE PUMP.docx</t>
  </si>
  <si>
    <t>Kd Scientific</t>
  </si>
  <si>
    <t>TAB</t>
  </si>
  <si>
    <t>Serial</t>
  </si>
  <si>
    <t>Critical</t>
  </si>
  <si>
    <t>WIP Class</t>
  </si>
  <si>
    <t>*SAVE</t>
  </si>
  <si>
    <t>*SL(2)</t>
  </si>
  <si>
    <t>SubInventory</t>
  </si>
  <si>
    <t>Locator</t>
  </si>
  <si>
    <t>Locator Default</t>
  </si>
  <si>
    <t>*AN</t>
  </si>
  <si>
    <t>Parent Type</t>
  </si>
  <si>
    <t>Parent Serial</t>
  </si>
  <si>
    <t>Parent Group</t>
  </si>
  <si>
    <t>*AA</t>
  </si>
  <si>
    <t>Default Attributes</t>
  </si>
  <si>
    <t>Op Status</t>
  </si>
  <si>
    <t>NOT QUALIFIED</t>
  </si>
  <si>
    <t>Owning Grp</t>
  </si>
  <si>
    <t>Manufacturer</t>
  </si>
  <si>
    <t>Model</t>
  </si>
  <si>
    <t>Contract</t>
  </si>
  <si>
    <t>Warranty</t>
  </si>
  <si>
    <t>*AO</t>
  </si>
  <si>
    <t>*SL(0.5)</t>
  </si>
  <si>
    <t>*SP</t>
  </si>
  <si>
    <t>T51745/1</t>
  </si>
  <si>
    <t>ML</t>
  </si>
  <si>
    <t>Normal</t>
  </si>
  <si>
    <t>ML.MC.M</t>
  </si>
  <si>
    <t>Cleanroom 3</t>
  </si>
  <si>
    <t>ACTIVE</t>
  </si>
  <si>
    <t>ML.MC</t>
  </si>
  <si>
    <t>KD Scientific</t>
  </si>
  <si>
    <t>410 Series</t>
  </si>
  <si>
    <t>%</t>
  </si>
  <si>
    <t>T50910</t>
  </si>
  <si>
    <t>De-Binding Oven</t>
  </si>
  <si>
    <t>MDL-115</t>
  </si>
  <si>
    <t>Karg Industrietechnik</t>
  </si>
  <si>
    <t>Emmeram Karg Industrietechnik Justus-v.-Liebig-Ring 15. Tele: +49 (0) 89 / 755 20 13</t>
  </si>
  <si>
    <t>#2651 and #3043 respectively</t>
  </si>
  <si>
    <t>Calibration is not required as there are no components of the tool that are able to be routinely calibrated.</t>
  </si>
  <si>
    <t>C:\Documents and Settings\TDoyle\My Documents\Tool Records\T50910 DE-BINDING OVEN.docx</t>
  </si>
  <si>
    <t>*QE</t>
  </si>
  <si>
    <t>*IR</t>
  </si>
  <si>
    <t>T203252</t>
  </si>
  <si>
    <t>*PB</t>
  </si>
  <si>
    <t>*DN</t>
  </si>
  <si>
    <t>*QR</t>
  </si>
  <si>
    <t>MA-%</t>
  </si>
  <si>
    <t>T203252/1</t>
  </si>
  <si>
    <t>K347052</t>
  </si>
  <si>
    <t>K286997</t>
  </si>
  <si>
    <t>K302453</t>
  </si>
  <si>
    <t>K302452</t>
  </si>
  <si>
    <t>K345905</t>
  </si>
  <si>
    <t>T222400</t>
  </si>
  <si>
    <t>T95078</t>
  </si>
  <si>
    <t>Digital Caliper</t>
  </si>
  <si>
    <t>Mitutoyo CD-6" (500-196-20)</t>
  </si>
  <si>
    <t>M.T.I. Qualos                  or               RS Components</t>
  </si>
  <si>
    <t>5 Hallstrom Place                               25 Pavesi St_x000D_Wetherill Park, NSW 2164                 Smithfield, NSW, 2164._x000D_Phone: (02) 9756 5577                      Phone: 1300 656 636_x000D_Email: sales@mtiqualos.com.au</t>
  </si>
  <si>
    <t>Australian Calibrating Services P/L</t>
  </si>
  <si>
    <t>Q:\Production Engineering Projects\PRJ1103 Project Bentley\Packaging\Equipment\T95078 Digital Caliper\check-out\209731 T95078 Digital Caliper v21.docx</t>
  </si>
  <si>
    <t>Content Control ID</t>
  </si>
  <si>
    <t>Content Control Title</t>
  </si>
  <si>
    <t>Click here to enter text.</t>
  </si>
  <si>
    <t>Enter Equipment Name</t>
  </si>
  <si>
    <t>Equip_No</t>
  </si>
  <si>
    <t>Enter Tool Number (TXXXXXX)</t>
  </si>
  <si>
    <t>Summary</t>
  </si>
  <si>
    <t>Summary Information</t>
  </si>
  <si>
    <t>Choose an item.</t>
  </si>
  <si>
    <t>Maintenance_freq</t>
  </si>
  <si>
    <t>Date</t>
  </si>
  <si>
    <t>Click here to enter a date</t>
  </si>
  <si>
    <t>Doc_Number</t>
  </si>
  <si>
    <t>Windchill Document Number: XXXXXX</t>
  </si>
  <si>
    <t>Issue</t>
  </si>
  <si>
    <t>Issue Number</t>
  </si>
  <si>
    <t>Justification</t>
  </si>
  <si>
    <t>Contractor Details</t>
  </si>
  <si>
    <t>Select Calibration Frequency</t>
  </si>
  <si>
    <t>Other Frequency</t>
  </si>
  <si>
    <t>Calibration</t>
  </si>
  <si>
    <t>Select calibration frequency justification</t>
  </si>
  <si>
    <t>Task Number</t>
  </si>
  <si>
    <t>Task Name</t>
  </si>
  <si>
    <t>Period</t>
  </si>
  <si>
    <t>Document Number(s)</t>
  </si>
  <si>
    <t>Select Maintenance Frequency</t>
  </si>
  <si>
    <t>Maintenance</t>
  </si>
  <si>
    <t>Select maintenance frequency justification</t>
  </si>
  <si>
    <t>Windchill Document Number</t>
  </si>
  <si>
    <t>Detail simple spares here (max 2)</t>
  </si>
  <si>
    <t xml:space="preserve"> e.g. fuses</t>
  </si>
  <si>
    <t xml:space="preserve"> screws</t>
  </si>
  <si>
    <t>Placeholder Text</t>
  </si>
  <si>
    <t xml:space="preserve"> Email</t>
  </si>
  <si>
    <t xml:space="preserve"> Phone*</t>
  </si>
  <si>
    <t xml:space="preserve"> calibrated and maintained. It does not constitute a record of any maintenance or calibration activities that may be conducted. Such activities are logged by the Maintenance and Calibration department and are governed by procedure N60003AE.</t>
  </si>
  <si>
    <t xml:space="preserve"> Preservation and Storage</t>
  </si>
  <si>
    <t xml:space="preserve"> or enter justification for whether an IQ is required for each tool instance:</t>
  </si>
  <si>
    <t xml:space="preserve"> or enter justification:</t>
  </si>
  <si>
    <t xml:space="preserve"> inspecting or testing</t>
  </si>
  <si>
    <t xml:space="preserve"> a NCR shall be raised to address any possible effects of the out of calibration tool being used in production.</t>
  </si>
  <si>
    <t xml:space="preserve"> the Equipment/Tool does not require calibration.</t>
  </si>
  <si>
    <t xml:space="preserve"> the Equipment/Tool does not have any external adjustment mechanism (e.g.: purely mechanical in nature).</t>
  </si>
  <si>
    <t xml:space="preserve"> inspection or test results the Equipment/Tool is safeguarded by</t>
  </si>
  <si>
    <t xml:space="preserve"> required parts are</t>
  </si>
  <si>
    <t>EquipmentVendor</t>
  </si>
  <si>
    <t>VendorContactDetails</t>
  </si>
  <si>
    <t>ManualRefLib</t>
  </si>
  <si>
    <t>ManualRefWC</t>
  </si>
  <si>
    <t>CalRequired</t>
  </si>
  <si>
    <t>CalNotRequired</t>
  </si>
  <si>
    <t>MaintRequired</t>
  </si>
  <si>
    <t>MaintNotRequired</t>
  </si>
  <si>
    <t>PurposeAndScope</t>
  </si>
  <si>
    <t>IQRequired</t>
  </si>
  <si>
    <t>IQNotRequired</t>
  </si>
  <si>
    <t>IQNotRequiredJustification</t>
  </si>
  <si>
    <t>CalNotRequired2</t>
  </si>
  <si>
    <t>CalNotRequired2NoMeasure</t>
  </si>
  <si>
    <t>CalNotRequired2NoSpecEffect</t>
  </si>
  <si>
    <t>CalNotRequired2NoAccEffect</t>
  </si>
  <si>
    <t>CalNotRequired2Other</t>
  </si>
  <si>
    <t>CalNotRequired2OtherJustification</t>
  </si>
  <si>
    <t>Calibration_freqOther</t>
  </si>
  <si>
    <t>CalAfterMoveJustification</t>
  </si>
  <si>
    <t>CalAfterMoveRequired</t>
  </si>
  <si>
    <t>CalAfterMoveNotRequired</t>
  </si>
  <si>
    <t>CalAfterMoveNotRequired2</t>
  </si>
  <si>
    <t>CalAfterMoveNotRequiredNoAccEffect</t>
  </si>
  <si>
    <t>CalAfterMoveNotRequiredOther</t>
  </si>
  <si>
    <t>CalAfterMoveNotRequiredOtherJustification</t>
  </si>
  <si>
    <t>CalTaskNo</t>
  </si>
  <si>
    <t>CalTaskName</t>
  </si>
  <si>
    <t>CalTaskPeriod</t>
  </si>
  <si>
    <t>CalProtectionNoCal</t>
  </si>
  <si>
    <t>CalProtectionNoExtAdjust</t>
  </si>
  <si>
    <t>CalProtectionNoNormalAdjust</t>
  </si>
  <si>
    <t>CalProtectionSafeguards</t>
  </si>
  <si>
    <t>CalProtectionSafeguardsDetail</t>
  </si>
  <si>
    <t>CalProtectionNotRequired</t>
  </si>
  <si>
    <t>CalProtectionNotRequiredJustification</t>
  </si>
  <si>
    <t>CalPerformed</t>
  </si>
  <si>
    <t>MaintPerformed</t>
  </si>
  <si>
    <t>CalByContractor</t>
  </si>
  <si>
    <t>CalByMC</t>
  </si>
  <si>
    <t>MaintByContractor</t>
  </si>
  <si>
    <t>MaintByMC</t>
  </si>
  <si>
    <t>CalContractorDetails</t>
  </si>
  <si>
    <t>MaintContractorDetails</t>
  </si>
  <si>
    <t>MaintNotRequired2</t>
  </si>
  <si>
    <t>MaintNotRequired2Other</t>
  </si>
  <si>
    <t>MaintNotRequired2OtherJustification</t>
  </si>
  <si>
    <t>MaintNotRequired2NoElements</t>
  </si>
  <si>
    <t>MaintNotRequired2ByOps</t>
  </si>
  <si>
    <t>CareSheet</t>
  </si>
  <si>
    <t>Maintenance_freqOther</t>
  </si>
  <si>
    <t>MaintTaskNo</t>
  </si>
  <si>
    <t>MaintTaskName</t>
  </si>
  <si>
    <t>MaintTaskPeriod</t>
  </si>
  <si>
    <t>SparesListWC</t>
  </si>
  <si>
    <t>SparesListWCRef</t>
  </si>
  <si>
    <t>SparesListSimple</t>
  </si>
  <si>
    <t>SparesListSimpleDetails</t>
  </si>
  <si>
    <t>SparesListNotRequired</t>
  </si>
  <si>
    <t>SparesListNotRequiredDuplicateTool</t>
  </si>
  <si>
    <t>SparesListNotRequiredOther</t>
  </si>
  <si>
    <t>SparesListNotRequiredOtherJustification</t>
  </si>
  <si>
    <t/>
  </si>
  <si>
    <t>Equip_No2</t>
  </si>
  <si>
    <t>Equip_Name3</t>
  </si>
  <si>
    <t>Calibration_freq4</t>
  </si>
  <si>
    <t>Maintenance_freq5</t>
  </si>
  <si>
    <t>Bookmark Name</t>
  </si>
  <si>
    <t>Maintenance not Required</t>
  </si>
  <si>
    <t>T178684</t>
  </si>
  <si>
    <t>Hardball Ablation Jig</t>
  </si>
  <si>
    <t>Drawing 159916</t>
  </si>
  <si>
    <t>Cochlear Ltd / Bennett Precision Tooling</t>
  </si>
  <si>
    <t>_x000D_Bennet Precision Tooling_x000D_Address: _x000D_10 Binney Rd, Kings Park NSW 2148 Australia._x000D__x000D_Ph:+61 2 9621 5900 _x000D_</t>
  </si>
  <si>
    <t>The jig does not have any moving parts that can be adjusted.</t>
  </si>
  <si>
    <t>C:\temp\Hardball Laser Ablation Jig Tool Record T178684.doc</t>
  </si>
  <si>
    <t>[ ]</t>
  </si>
  <si>
    <t>[X]</t>
  </si>
  <si>
    <t>T50961</t>
  </si>
  <si>
    <t>Eurotherm Digital Chart Recorder</t>
  </si>
  <si>
    <t>Eurotherm 5100A / 6100A</t>
  </si>
  <si>
    <t>iPAC Solutions Pty Ltd</t>
  </si>
  <si>
    <t>6-20/22 Foundry Road_x000D_Seven Hills NSW 2147_x000D_T: (02) 8825 6222_x000D_F: (02) 8825 6299_x000D_E: sales@ipacsolutions.com.au</t>
  </si>
  <si>
    <t>19/10/2011</t>
  </si>
  <si>
    <t>Password protection. In the top left corner of the data logger screen, it states either Engineer or logged out, touch once and select Engineer. Enter password 10 or 100</t>
  </si>
  <si>
    <t>Q:\Production Support\Tom Doyle\NPI\Projects\Chart Recorder for Sintering Ovens\Check-in\201431 T50961 Chart Recorder, Tool Record 7.docx</t>
  </si>
  <si>
    <t>Q:\Production Support\Tom Doyle\NPI\Projects\Sorting Ring Mould Tool, Documentation\Sorting Ring Tool Spec\Reference\196445 Tool Specification, Sorting Moulding Tool (Mulberry B) 4.doc</t>
  </si>
  <si>
    <t>3</t>
  </si>
  <si>
    <t>Sorting Ring Mould Tool</t>
  </si>
  <si>
    <t>T432965</t>
  </si>
  <si>
    <t xml:space="preserve">The Sorting Ring Mould Tool is designed to be used with an LSR (Liquid Silicone Rubber) injection moulding machine, to make the CI500 series implant subassembly, Y109780 Sorting Ring.
</t>
  </si>
  <si>
    <t>Bennetts Precision Tooling</t>
  </si>
  <si>
    <t>12 Monthly</t>
  </si>
  <si>
    <t>Mar-13</t>
  </si>
  <si>
    <t>No adjustments can be made to this tool.</t>
  </si>
  <si>
    <t>Cochlear Toolroom (Internal)</t>
  </si>
  <si>
    <t>Inspection</t>
  </si>
  <si>
    <t xml:space="preserve">Part Name  Part Number Occurrence of failure Severity of failure Part availability Risk Action
Heaters
 Z110/8x80/400 2 4 3 24 Hold spare on site
Thermocouples IEH AM29898 2 4 3 24 Hold spare on site
Heaters
 IEH HotcoTBA 2 4 3 24 Hold spare on site
Thermocouples Pyrosales TBA 2 4 3 24 Hold spare on site
</t>
  </si>
  <si>
    <t>T236664</t>
  </si>
  <si>
    <t>Getinge Jaymac Autoclave</t>
  </si>
  <si>
    <t>This equipment is an autoclave (steam steriliser). It consists of heating elements installed the base of a pressure vessel. The elements are covered with distilled water and  then heated to create steam.</t>
  </si>
  <si>
    <t>Getinge Jaymac</t>
  </si>
  <si>
    <t>NA</t>
  </si>
  <si>
    <t>Getinge Australia Pty. Ltd.</t>
  </si>
  <si>
    <t>4/20-30 Stubbs Street
Silverwater NSW 2128
Phone: 1300 155 500</t>
  </si>
  <si>
    <t xml:space="preserve"> </t>
  </si>
  <si>
    <t>Temperature Mapping</t>
  </si>
  <si>
    <t>######</t>
  </si>
  <si>
    <t>Non-production equipment. Maintenance  is unscheduled .</t>
  </si>
  <si>
    <t>Dovetail Heating Element P/N 210GEE357</t>
  </si>
  <si>
    <t>T334086</t>
  </si>
  <si>
    <t>DIGITAL BLADE MICROMETER</t>
  </si>
  <si>
    <t>MITUTOYO / 422-230</t>
  </si>
  <si>
    <t>CUTTING TOOLS AUSTRALIA</t>
  </si>
  <si>
    <t>sales@cuttingtools.com.au/ +61 2 8539 7277</t>
  </si>
  <si>
    <t>D&amp;D Metrologist</t>
  </si>
  <si>
    <t>Q:\Production Support\Tom Doyle\NPI\+Projects\#COMPLETED-F13\04.Feedthrough GR&amp;R\Documentation\Tools\T334086 Micrometer, Blade\Tool Equipment Record-Digital Blade Micrometer-T334086.doc</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</si>
</sst>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0"/>
      <color theme="1"/>
      <name val="Calibri"/>
      <family val="2"/>
      <scheme val="minor"/>
    </font>
    <font>
      <b/>
      <sz val="10"/>
      <color theme="1"/>
      <name val="Calibri"/>
      <family val="2"/>
      <scheme val="minor"/>
    </font>
    <font>
      <b/>
      <u/>
      <sz val="10"/>
      <color theme="1"/>
      <name val="Calibri"/>
      <family val="2"/>
      <scheme val="minor"/>
    </font>
    <font>
      <b/>
      <sz val="10"/>
      <color theme="0"/>
      <name val="Calibri"/>
      <family val="2"/>
      <scheme val="minor"/>
    </font>
    <font>
      <sz val="10"/>
      <color theme="0"/>
      <name val="Calibri"/>
      <family val="2"/>
      <scheme val="minor"/>
    </font>
    <font>
      <b/>
      <sz val="8"/>
      <color indexed="81"/>
      <name val="Tahoma"/>
      <family val="2"/>
    </font>
    <font>
      <sz val="10"/>
      <name val="Calibri"/>
      <family val="2"/>
      <scheme val="minor"/>
    </font>
    <font>
      <sz val="14"/>
      <color theme="0"/>
      <name val="Calibri"/>
      <family val="2"/>
      <scheme val="minor"/>
    </font>
    <font>
      <sz val="14"/>
      <color rgb="FFFFFF00"/>
      <name val="Calibri"/>
      <family val="2"/>
      <scheme val="minor"/>
    </font>
    <font>
      <b/>
      <i/>
      <sz val="10"/>
      <color theme="1"/>
      <name val="Calibri"/>
      <family val="2"/>
      <scheme val="minor"/>
    </font>
    <font>
      <i/>
      <sz val="10"/>
      <color theme="1"/>
      <name val="Calibri"/>
      <family val="2"/>
      <scheme val="minor"/>
    </font>
    <font>
      <b/>
      <i/>
      <sz val="12"/>
      <color theme="1"/>
      <name val="Calibri"/>
      <family val="2"/>
      <scheme val="minor"/>
    </font>
    <font>
      <b/>
      <i/>
      <sz val="14"/>
      <color theme="1"/>
      <name val="Calibri"/>
      <family val="2"/>
      <scheme val="minor"/>
    </font>
    <font>
      <b/>
      <sz val="12"/>
      <color theme="1"/>
      <name val="Calibri"/>
      <family val="2"/>
      <scheme val="minor"/>
    </font>
    <font>
      <sz val="10"/>
      <color rgb="FF000000"/>
      <name val="Calibri"/>
      <family val="2"/>
    </font>
  </fonts>
  <fills count="16">
    <fill>
      <patternFill patternType="none"/>
    </fill>
    <fill>
      <patternFill patternType="gray125"/>
    </fill>
    <fill>
      <patternFill patternType="solid">
        <fgColor rgb="FF00B0F0"/>
        <bgColor indexed="64"/>
      </patternFill>
    </fill>
    <fill>
      <patternFill patternType="solid">
        <fgColor theme="5" tint="0.59999389629810485"/>
        <bgColor indexed="64"/>
      </patternFill>
    </fill>
    <fill>
      <patternFill patternType="solid">
        <fgColor theme="6"/>
        <bgColor indexed="64"/>
      </patternFill>
    </fill>
    <fill>
      <patternFill patternType="solid">
        <fgColor theme="5" tint="0.39997558519241921"/>
        <bgColor indexed="64"/>
      </patternFill>
    </fill>
    <fill>
      <patternFill patternType="solid">
        <fgColor rgb="FFFFFF00"/>
        <bgColor indexed="64"/>
      </patternFill>
    </fill>
    <fill>
      <patternFill patternType="solid">
        <fgColor theme="1"/>
        <bgColor indexed="64"/>
      </patternFill>
    </fill>
    <fill>
      <patternFill patternType="solid">
        <fgColor theme="6" tint="0.79998168889431442"/>
        <bgColor indexed="64"/>
      </patternFill>
    </fill>
    <fill>
      <patternFill patternType="solid">
        <fgColor rgb="FFFF0000"/>
        <bgColor indexed="64"/>
      </patternFill>
    </fill>
    <fill>
      <patternFill patternType="solid">
        <fgColor theme="9" tint="0.39997558519241921"/>
        <bgColor indexed="64"/>
      </patternFill>
    </fill>
    <fill>
      <patternFill patternType="solid">
        <fgColor rgb="FF92D050"/>
        <bgColor indexed="64"/>
      </patternFill>
    </fill>
    <fill>
      <patternFill patternType="solid">
        <fgColor theme="3"/>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59999389629810485"/>
        <bgColor indexed="64"/>
      </patternFill>
    </fill>
  </fills>
  <borders count="4">
    <border>
      <left/>
      <right/>
      <top/>
      <bottom/>
      <diagonal/>
    </border>
    <border>
      <left/>
      <right/>
      <top/>
      <bottom style="thin">
        <color indexed="64"/>
      </bottom>
      <diagonal/>
    </border>
    <border>
      <left/>
      <right/>
      <top/>
      <bottom style="double">
        <color indexed="64"/>
      </bottom>
      <diagonal/>
    </border>
    <border>
      <left style="thin">
        <color indexed="64"/>
      </left>
      <right/>
      <top/>
      <bottom/>
      <diagonal/>
    </border>
  </borders>
  <cellStyleXfs count="1">
    <xf numFmtId="0" fontId="0" fillId="0" borderId="0"/>
  </cellStyleXfs>
  <cellXfs count="61">
    <xf numFmtId="0" fontId="0" fillId="0" borderId="0" xfId="0"/>
    <xf numFmtId="0" fontId="1" fillId="5" borderId="2" xfId="0" applyFont="1" applyFill="1" applyBorder="1" applyAlignment="1">
      <alignment horizontal="left" vertical="top" wrapText="1"/>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3" borderId="2" xfId="0" applyFont="1" applyFill="1" applyBorder="1" applyAlignment="1">
      <alignment horizontal="left" vertical="top" wrapText="1"/>
    </xf>
    <xf numFmtId="0" fontId="3" fillId="9" borderId="2" xfId="0" applyFont="1" applyFill="1" applyBorder="1" applyAlignment="1">
      <alignment horizontal="left" vertical="top" wrapText="1"/>
    </xf>
    <xf numFmtId="0" fontId="1" fillId="10" borderId="2" xfId="0" applyFont="1" applyFill="1" applyBorder="1" applyAlignment="1">
      <alignment horizontal="left" vertical="top" wrapText="1"/>
    </xf>
    <xf numFmtId="0" fontId="0" fillId="0" borderId="0" xfId="0" applyFill="1" applyAlignment="1">
      <alignment horizontal="left"/>
    </xf>
    <xf numFmtId="0" fontId="1" fillId="0" borderId="0" xfId="0" applyFont="1" applyFill="1" applyBorder="1" applyAlignment="1">
      <alignment horizontal="left" vertical="top" wrapText="1"/>
    </xf>
    <xf numFmtId="0" fontId="0" fillId="0" borderId="0" xfId="0" applyFill="1" applyBorder="1" applyAlignment="1">
      <alignment horizontal="left"/>
    </xf>
    <xf numFmtId="0" fontId="4" fillId="0" borderId="0" xfId="0" applyFont="1" applyFill="1" applyAlignment="1">
      <alignment horizontal="left"/>
    </xf>
    <xf numFmtId="0" fontId="1" fillId="2" borderId="2" xfId="0" applyFont="1" applyFill="1" applyBorder="1" applyAlignment="1">
      <alignment vertical="top" wrapText="1"/>
    </xf>
    <xf numFmtId="0" fontId="3" fillId="9" borderId="2" xfId="0" applyFont="1" applyFill="1" applyBorder="1" applyAlignment="1">
      <alignment vertical="top" wrapText="1"/>
    </xf>
    <xf numFmtId="0" fontId="0" fillId="0" borderId="0" xfId="0" applyFill="1" applyAlignment="1">
      <alignment horizontal="left" vertical="center"/>
    </xf>
    <xf numFmtId="0" fontId="6" fillId="0" borderId="0" xfId="0" applyFont="1" applyFill="1" applyAlignment="1">
      <alignment horizontal="left" vertical="center"/>
    </xf>
    <xf numFmtId="0" fontId="0" fillId="0" borderId="0" xfId="0" applyFill="1" applyBorder="1" applyAlignment="1">
      <alignment horizontal="left" vertical="center"/>
    </xf>
    <xf numFmtId="14" fontId="0" fillId="0" borderId="0" xfId="0" applyNumberFormat="1" applyFill="1" applyAlignment="1">
      <alignment horizontal="left" vertical="center"/>
    </xf>
    <xf numFmtId="0" fontId="0" fillId="0" borderId="0" xfId="0" applyAlignment="1">
      <alignment horizontal="left"/>
    </xf>
    <xf numFmtId="0" fontId="0" fillId="11" borderId="0" xfId="0" applyFill="1"/>
    <xf numFmtId="0" fontId="0" fillId="7" borderId="0" xfId="0" applyFill="1"/>
    <xf numFmtId="0" fontId="0" fillId="0" borderId="0" xfId="0" applyFill="1"/>
    <xf numFmtId="0" fontId="7" fillId="12" borderId="0" xfId="0" applyFont="1" applyFill="1"/>
    <xf numFmtId="0" fontId="7" fillId="0" borderId="0" xfId="0" applyFont="1" applyFill="1"/>
    <xf numFmtId="0" fontId="0" fillId="11" borderId="2" xfId="0" applyFill="1" applyBorder="1"/>
    <xf numFmtId="0" fontId="7" fillId="12" borderId="2" xfId="0" applyFont="1" applyFill="1" applyBorder="1"/>
    <xf numFmtId="0" fontId="0" fillId="0" borderId="2" xfId="0" applyBorder="1"/>
    <xf numFmtId="0" fontId="8" fillId="12" borderId="0" xfId="0" applyFont="1" applyFill="1"/>
    <xf numFmtId="0" fontId="1" fillId="6" borderId="0" xfId="0" applyFont="1" applyFill="1" applyAlignment="1">
      <alignment horizontal="left" vertical="center" wrapText="1"/>
    </xf>
    <xf numFmtId="0" fontId="3" fillId="9" borderId="2" xfId="0" applyFont="1" applyFill="1" applyBorder="1" applyAlignment="1">
      <alignment horizontal="left" vertical="center" wrapText="1"/>
    </xf>
    <xf numFmtId="14" fontId="1" fillId="6" borderId="0" xfId="0" applyNumberFormat="1" applyFont="1" applyFill="1" applyAlignment="1">
      <alignment horizontal="left" vertical="center" wrapText="1"/>
    </xf>
    <xf numFmtId="0" fontId="1" fillId="0" borderId="0" xfId="0" applyFont="1" applyFill="1" applyBorder="1" applyAlignment="1">
      <alignment horizontal="left" vertical="center" wrapText="1"/>
    </xf>
    <xf numFmtId="0" fontId="0" fillId="8" borderId="0" xfId="0" applyFill="1" applyAlignment="1">
      <alignment horizontal="left" vertical="center" wrapText="1"/>
    </xf>
    <xf numFmtId="14" fontId="0" fillId="8" borderId="0" xfId="0" applyNumberFormat="1" applyFill="1" applyAlignment="1">
      <alignment horizontal="left" vertical="center" wrapText="1"/>
    </xf>
    <xf numFmtId="0" fontId="1" fillId="7" borderId="0" xfId="0" applyFont="1" applyFill="1" applyAlignment="1">
      <alignment horizontal="left" vertical="center" wrapText="1"/>
    </xf>
    <xf numFmtId="0" fontId="0" fillId="0" borderId="0" xfId="0" applyFill="1" applyBorder="1" applyAlignment="1">
      <alignment horizontal="left" vertical="center" wrapText="1"/>
    </xf>
    <xf numFmtId="14" fontId="1" fillId="7" borderId="0" xfId="0" applyNumberFormat="1" applyFont="1" applyFill="1" applyAlignment="1">
      <alignment horizontal="left" vertical="center" wrapText="1"/>
    </xf>
    <xf numFmtId="0" fontId="0" fillId="8" borderId="1" xfId="0" applyFill="1" applyBorder="1" applyAlignment="1">
      <alignment horizontal="left" vertical="center" wrapText="1"/>
    </xf>
    <xf numFmtId="14" fontId="0" fillId="8" borderId="1" xfId="0" applyNumberFormat="1" applyFill="1" applyBorder="1" applyAlignment="1">
      <alignment horizontal="left" vertical="center" wrapText="1"/>
    </xf>
    <xf numFmtId="0" fontId="1" fillId="13" borderId="0" xfId="0" applyFont="1" applyFill="1" applyAlignment="1">
      <alignment horizontal="left" vertical="top" wrapText="1"/>
    </xf>
    <xf numFmtId="0" fontId="0" fillId="0" borderId="0" xfId="0" applyAlignment="1">
      <alignment horizontal="left" vertical="top"/>
    </xf>
    <xf numFmtId="0" fontId="1" fillId="0" borderId="0" xfId="0" applyFont="1" applyAlignment="1">
      <alignment horizontal="left" vertical="top"/>
    </xf>
    <xf numFmtId="0" fontId="10" fillId="0" borderId="0" xfId="0" applyFont="1" applyAlignment="1">
      <alignment horizontal="left" vertical="top"/>
    </xf>
    <xf numFmtId="0" fontId="0" fillId="14" borderId="0" xfId="0" applyFill="1" applyAlignment="1">
      <alignment horizontal="center" vertical="top"/>
    </xf>
    <xf numFmtId="0" fontId="9" fillId="15" borderId="0" xfId="0" applyFont="1" applyFill="1" applyAlignment="1">
      <alignment horizontal="center" vertical="top" wrapText="1"/>
    </xf>
    <xf numFmtId="0" fontId="12" fillId="15" borderId="0" xfId="0" applyFont="1" applyFill="1" applyAlignment="1">
      <alignment horizontal="center" vertical="top" wrapText="1"/>
    </xf>
    <xf numFmtId="0" fontId="12" fillId="15" borderId="3" xfId="0" applyFont="1" applyFill="1" applyBorder="1" applyAlignment="1">
      <alignment horizontal="center" vertical="center" wrapText="1"/>
    </xf>
    <xf numFmtId="0" fontId="12" fillId="15" borderId="0" xfId="0" applyFont="1" applyFill="1" applyAlignment="1">
      <alignment horizontal="center" vertical="center" wrapText="1"/>
    </xf>
    <xf numFmtId="0" fontId="13" fillId="13" borderId="0" xfId="0" applyFont="1" applyFill="1" applyAlignment="1">
      <alignment horizontal="left" vertical="top" wrapText="1"/>
    </xf>
    <xf numFmtId="0" fontId="13" fillId="13" borderId="3" xfId="0" applyFont="1" applyFill="1" applyBorder="1" applyAlignment="1">
      <alignment horizontal="left" vertical="center" wrapText="1"/>
    </xf>
    <xf numFmtId="0" fontId="11" fillId="13" borderId="0" xfId="0" applyFont="1" applyFill="1" applyAlignment="1">
      <alignment horizontal="left" vertical="center" wrapText="1"/>
    </xf>
    <xf numFmtId="0" fontId="1" fillId="0" borderId="3" xfId="0" applyFont="1" applyBorder="1" applyAlignment="1">
      <alignment horizontal="left" vertical="top"/>
    </xf>
    <xf numFmtId="0" fontId="12" fillId="15" borderId="0" xfId="0" applyFont="1" applyFill="1" applyBorder="1" applyAlignment="1">
      <alignment horizontal="center" vertical="center" wrapText="1"/>
    </xf>
    <xf numFmtId="0" fontId="1" fillId="0" borderId="0" xfId="0" applyFont="1" applyBorder="1" applyAlignment="1">
      <alignment horizontal="left" vertical="top"/>
    </xf>
    <xf numFmtId="0" fontId="11" fillId="13" borderId="0" xfId="0" applyFont="1" applyFill="1" applyBorder="1" applyAlignment="1">
      <alignment horizontal="left" vertical="center" wrapText="1"/>
    </xf>
    <xf numFmtId="0" fontId="0" fillId="15" borderId="0" xfId="0" applyFill="1" applyAlignment="1">
      <alignment horizontal="left" vertical="top"/>
    </xf>
    <xf numFmtId="49" fontId="1" fillId="0" borderId="3" xfId="0" applyNumberFormat="1" applyFont="1" applyFill="1" applyBorder="1" applyAlignment="1">
      <alignment horizontal="left" vertical="top" wrapText="1"/>
    </xf>
    <xf numFmtId="0" fontId="1" fillId="0" borderId="0" xfId="0" applyFont="1" applyFill="1" applyAlignment="1">
      <alignment horizontal="left" vertical="top" wrapText="1"/>
    </xf>
    <xf numFmtId="49" fontId="1" fillId="0" borderId="0" xfId="0" applyNumberFormat="1" applyFont="1" applyFill="1" applyBorder="1" applyAlignment="1">
      <alignment horizontal="left" vertical="top" wrapText="1"/>
    </xf>
    <xf numFmtId="0" fontId="1" fillId="0" borderId="3" xfId="0" applyFont="1" applyFill="1" applyBorder="1" applyAlignment="1">
      <alignment horizontal="left" vertical="top" wrapText="1"/>
    </xf>
    <xf numFmtId="0" fontId="1" fillId="0" borderId="0" xfId="0" applyNumberFormat="1" applyFont="1" applyFill="1" applyBorder="1" applyAlignment="1">
      <alignment horizontal="left" vertical="top" wrapText="1"/>
    </xf>
    <xf numFmtId="0" fontId="1" fillId="0" borderId="0" xfId="0" applyNumberFormat="1" applyFont="1" applyFill="1" applyAlignment="1">
      <alignment horizontal="left" vertical="top" wrapText="1"/>
    </xf>
  </cellXfs>
  <cellStyles count="1">
    <cellStyle name="Normal" xfId="0" builtinId="0"/>
  </cellStyles>
  <dxfs count="82">
    <dxf>
      <font>
        <color rgb="FF9C6500"/>
      </font>
      <fill>
        <patternFill>
          <bgColor rgb="FFFFEB9C"/>
        </patternFill>
      </fill>
      <border>
        <left style="thin">
          <color theme="9"/>
        </left>
        <right style="thin">
          <color theme="9"/>
        </right>
        <top style="thin">
          <color theme="9"/>
        </top>
        <bottom style="thin">
          <color theme="9"/>
        </bottom>
      </border>
    </dxf>
    <dxf>
      <font>
        <color rgb="FF9C6500"/>
      </font>
      <fill>
        <patternFill>
          <bgColor rgb="FFFFEB9C"/>
        </patternFill>
      </fill>
      <border>
        <left style="thin">
          <color theme="9"/>
        </left>
        <right style="thin">
          <color theme="9"/>
        </right>
        <top style="thin">
          <color theme="9"/>
        </top>
        <bottom style="thin">
          <color theme="9"/>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0"/>
        <color theme="1"/>
        <name val="Calibri"/>
        <scheme val="minor"/>
      </font>
      <fill>
        <patternFill patternType="none">
          <fgColor indexed="64"/>
          <bgColor auto="1"/>
        </patternFill>
      </fill>
      <alignment horizontal="left"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Document">
        <xsd:complexType>
          <xsd:sequence minOccurs="0">
            <xsd:element minOccurs="0" maxOccurs="unbounded" nillable="true" name="ToolRecord" form="unqualified">
              <xsd:complexType>
                <xsd:sequence minOccurs="0">
                  <xsd:element minOccurs="0" nillable="true" type="xsd:string" name="Equip_Name" form="unqualified"/>
                  <xsd:element minOccurs="0" nillable="true" type="xsd:string" name="Equip_No" form="unqualified"/>
                  <xsd:element minOccurs="0" nillable="true" type="xsd:string" name="Summary" form="unqualified"/>
                  <xsd:element minOccurs="0" nillable="true" type="xsd:string" name="Equip_No2" form="unqualified"/>
                  <xsd:element minOccurs="0" nillable="true" type="xsd:string" name="Equip_Name2" form="unqualified"/>
                  <xsd:element minOccurs="0" nillable="true" type="xsd:string" name="Manufacturer" form="unqualified"/>
                  <xsd:element minOccurs="0" nillable="true" type="xsd:string" name="Model" form="unqualified"/>
                  <xsd:element minOccurs="0" nillable="true" type="xsd:string" name="EquipmentVendor" form="unqualified"/>
                  <xsd:element minOccurs="0" nillable="true" type="xsd:string" name="VendorContactDetails" form="unqualified"/>
                  <xsd:element minOccurs="0" nillable="true" type="xsd:string" name="ManualRefWC" form="unqualified"/>
                  <xsd:element minOccurs="0" nillable="true" type="xsd:string" name="ManualRefLib" form="unqualified"/>
                  <xsd:element minOccurs="0" nillable="true" type="xsd:string" name="CalRequired" form="unqualified"/>
                  <xsd:element minOccurs="0" nillable="true" type="xsd:string" name="CalNotRequired" form="unqualified"/>
                  <xsd:element minOccurs="0" nillable="true" type="xsd:string" name="Calibration_freq" form="unqualified"/>
                  <xsd:element minOccurs="0" nillable="true" type="xsd:string" name="MaintRequired" form="unqualified"/>
                  <xsd:element minOccurs="0" nillable="true" type="xsd:string" name="MaintNotRequired" form="unqualified"/>
                  <xsd:element minOccurs="0" nillable="true" type="xsd:string" name="Maintenance_freq" form="unqualified"/>
                  <xsd:element minOccurs="0" nillable="true" type="xsd:string" name="Date" form="unqualified"/>
                  <xsd:element minOccurs="0" nillable="true" type="xsd:string" name="Doc_Number" form="unqualified"/>
                  <xsd:element minOccurs="0" nillable="true" type="xsd:string" name="Issue" form="unqualified"/>
                  <xsd:element minOccurs="0" nillable="true" type="xsd:string" name="PurposeAndScope" form="unqualified"/>
                  <xsd:element minOccurs="0" nillable="true" type="xsd:string" name="IQRequired" form="unqualified"/>
                  <xsd:element minOccurs="0" nillable="true" type="xsd:string" name="IQNotRequired" form="unqualified"/>
                  <xsd:element minOccurs="0" nillable="true" type="xsd:string" name="IQNotRequiredJustification" form="unqualified"/>
                  <xsd:element minOccurs="0" nillable="true" type="xsd:string" name="CalPerformed" form="unqualified"/>
                  <xsd:element minOccurs="0" nillable="true" type="xsd:string" name="CalByContractor" form="unqualified"/>
                  <xsd:element minOccurs="0" nillable="true" type="xsd:string" name="CalContractorDetails" form="unqualified"/>
                  <xsd:element minOccurs="0" nillable="true" type="xsd:string" name="CalByMC" form="unqualified"/>
                  <xsd:element minOccurs="0" nillable="true" type="xsd:string" name="CalNotRequired2" form="unqualified"/>
                  <xsd:element minOccurs="0" nillable="true" type="xsd:string" name="CalNotRequired2NoMeasure" form="unqualified"/>
                  <xsd:element minOccurs="0" nillable="true" type="xsd:string" name="CalNotRequired2NoSpecEffect" form="unqualified"/>
                  <xsd:element minOccurs="0" nillable="true" type="xsd:string" name="CalNotRequired2NoAccEffect" form="unqualified"/>
                  <xsd:element minOccurs="0" nillable="true" type="xsd:string" name="CalNotRequired2Other" form="unqualified"/>
                  <xsd:element minOccurs="0" nillable="true" type="xsd:string" name="CalNotRequired2OtherJustification" form="unqualified"/>
                  <xsd:element minOccurs="0" nillable="true" type="xsd:string" name="Calibration_freq2" form="unqualified"/>
                  <xsd:element minOccurs="0" nillable="true" type="xsd:string" name="Calibration_freqOther" form="unqualified"/>
                  <xsd:element minOccurs="0" nillable="true" type="xsd:string" name="Calibration" form="unqualified"/>
                  <xsd:element minOccurs="0" nillable="true" type="xsd:string" name="CalAfterMoveJustification" form="unqualified"/>
                  <xsd:element minOccurs="0" nillable="true" type="xsd:string" name="CalAfterMoveRequired" form="unqualified"/>
                  <xsd:element minOccurs="0" nillable="true" type="xsd:string" name="CalAfterMoveNotRequired" form="unqualified"/>
                  <xsd:element minOccurs="0" nillable="true" type="xsd:string" name="CalAfterMoveNotRequired2" form="unqualified"/>
                  <xsd:element minOccurs="0" nillable="true" type="xsd:string" name="CalAfterMoveNotRequiredNoAccEffect" form="unqualified"/>
                  <xsd:element minOccurs="0" nillable="true" type="xsd:string" name="CalAfterMoveNotRequiredOther" form="unqualified"/>
                  <xsd:element minOccurs="0" nillable="true" type="xsd:string" name="CalAfterMoveNotRequiredOtherJustification" form="unqualified"/>
                  <xsd:element minOccurs="0" nillable="true" type="xsd:string" name="CalTaskNo" form="unqualified"/>
                  <xsd:element minOccurs="0" nillable="true" type="xsd:string" name="CalTaskName" form="unqualified"/>
                  <xsd:element minOccurs="0" nillable="true" type="xsd:string" name="CalTaskPeriod" form="unqualified"/>
                  <xsd:element minOccurs="0" nillable="true" type="xsd:string" name="CalProtectionNoCal" form="unqualified"/>
                  <xsd:element minOccurs="0" nillable="true" type="xsd:string" name="CalProtectionNoExtAdjust" form="unqualified"/>
                  <xsd:element minOccurs="0" nillable="true" type="xsd:string" name="CalProtectionNoNormalAdjust" form="unqualified"/>
                  <xsd:element minOccurs="0" nillable="true" type="xsd:string" name="CalProtectionSafeguards" form="unqualified"/>
                  <xsd:element minOccurs="0" nillable="true" type="xsd:string" name="CalProtectionSafeguardsDetail" form="unqualified"/>
                  <xsd:element minOccurs="0" nillable="true" type="xsd:string" name="CalProtectionNotRequired" form="unqualified"/>
                  <xsd:element minOccurs="0" nillable="true" type="xsd:string" name="CalProtectionNotRequiredJustification" form="unqualified"/>
                  <xsd:element minOccurs="0" nillable="true" type="xsd:string" name="MaintPerformed" form="unqualified"/>
                  <xsd:element minOccurs="0" nillable="true" type="xsd:string" name="MaintByContractor" form="unqualified"/>
                  <xsd:element minOccurs="0" nillable="true" type="xsd:string" name="MaintContractorDetails" form="unqualified"/>
                  <xsd:element minOccurs="0" nillable="true" type="xsd:string" name="MaintByMC" form="unqualified"/>
                  <xsd:element minOccurs="0" nillable="true" type="xsd:string" name="MaintNotRequired2" form="unqualified"/>
                  <xsd:element minOccurs="0" nillable="true" type="xsd:string" name="MaintNotRequired2NoElements" form="unqualified"/>
                  <xsd:element minOccurs="0" nillable="true" type="xsd:string" name="MaintNotRequired2ByOps" form="unqualified"/>
                  <xsd:element minOccurs="0" nillable="true" type="xsd:string" name="CareSheet" form="unqualified"/>
                  <xsd:element minOccurs="0" nillable="true" type="xsd:string" name="MaintNotRequired2Other" form="unqualified"/>
                  <xsd:element minOccurs="0" nillable="true" type="xsd:string" name="MaintNotRequired2OtherJustification" form="unqualified"/>
                  <xsd:element minOccurs="0" nillable="true" type="xsd:string" name="Maintenance_freq2" form="unqualified"/>
                  <xsd:element minOccurs="0" nillable="true" type="xsd:string" name="Maintenance_freqOther" form="unqualified"/>
                  <xsd:element minOccurs="0" nillable="true" type="xsd:string" name="Maintenance" form="unqualified"/>
                  <xsd:element minOccurs="0" nillable="true" type="xsd:string" name="MaintTaskNo" form="unqualified"/>
                  <xsd:element minOccurs="0" nillable="true" type="xsd:string" name="MaintTaskName" form="unqualified"/>
                  <xsd:element minOccurs="0" nillable="true" type="xsd:string" name="MaintTaskPeriod" form="unqualified"/>
                  <xsd:element minOccurs="0" nillable="true" type="xsd:string" name="SparesListWC" form="unqualified"/>
                  <xsd:element minOccurs="0" nillable="true" type="xsd:string" name="SparesListWCRef" form="unqualified"/>
                  <xsd:element minOccurs="0" nillable="true" type="xsd:string" name="SparesListSimple" form="unqualified"/>
                  <xsd:element minOccurs="0" nillable="true" type="xsd:string" name="SparesListSimpleDetails" form="unqualified"/>
                  <xsd:element minOccurs="0" nillable="true" type="xsd:string" name="SparesListNotRequired" form="unqualified"/>
                  <xsd:element minOccurs="0" nillable="true" type="xsd:string" name="SparesListNotRequiredDuplicateTool" form="unqualified"/>
                  <xsd:element minOccurs="0" nillable="true" type="xsd:string" name="SparesListNotRequiredOther" form="unqualified"/>
                  <xsd:element minOccurs="0" nillable="true" type="xsd:string" name="SparesListNotRequiredOtherJustification" form="unqualified"/>
                </xsd:sequence>
              </xsd:complexType>
            </xsd:element>
          </xsd:sequence>
        </xsd:complexType>
      </xsd:element>
    </xsd:schema>
  </Schema>
  <Map ID="1" Name="Document_Map" RootElement="Document" SchemaID="Schema1" ShowImportExportValidationErrors="tru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4</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Calibri"/>
                  <a:cs typeface="Calibri"/>
                </a:rPr>
                <a:t>Run Tool Record Convertor Program</a:t>
              </a:r>
              <a:endParaRPr lang="en-AU"/>
            </a:p>
          </xdr:txBody>
        </xdr:sp>
        <xdr:clientData fPrintsWithSheet="0"/>
      </xdr:twoCellAnchor>
    </mc:Choice>
    <mc:Fallback/>
  </mc:AlternateContent>
</xdr:wsDr>
</file>

<file path=xl/tables/table1.xml><?xml version="1.0" encoding="utf-8"?>
<table xmlns="http://schemas.openxmlformats.org/spreadsheetml/2006/main" id="1" name="Table_ToolRecords" displayName="Table_ToolRecords" ref="A1:BZ21" tableType="xml" totalsRowShown="0" headerRowDxfId="81" dataDxfId="80" connectionId="1">
  <autoFilter ref="A1:BZ21"/>
  <tableColumns count="78">
    <tableColumn id="1" uniqueName="Equip_Name" name="Equip_Name" dataDxfId="79">
      <xmlColumnPr mapId="1" xpath="/Document/ToolRecord/Equip_Name" xmlDataType="string"/>
    </tableColumn>
    <tableColumn id="2" uniqueName="Equip_No" name="Equip_No" dataDxfId="78">
      <xmlColumnPr mapId="1" xpath="/Document/ToolRecord/Equip_No" xmlDataType="string"/>
    </tableColumn>
    <tableColumn id="3" uniqueName="Summary" name="Summary" dataDxfId="77">
      <xmlColumnPr mapId="1" xpath="/Document/ToolRecord/Summary" xmlDataType="string"/>
    </tableColumn>
    <tableColumn id="4" uniqueName="Equip_No2" name="Equip_No2" dataDxfId="76">
      <calculatedColumnFormula>Table_ToolRecords[[#This Row],[Equip_No]]</calculatedColumnFormula>
      <xmlColumnPr mapId="1" xpath="/Document/ToolRecord/Equip_No2" xmlDataType="string"/>
    </tableColumn>
    <tableColumn id="5" uniqueName="Equip_Name2" name="Equip_Name3" dataDxfId="75">
      <calculatedColumnFormula>Table_ToolRecords[[#This Row],[Equip_Name]]</calculatedColumnFormula>
      <xmlColumnPr mapId="1" xpath="/Document/ToolRecord/Equip_Name2" xmlDataType="string"/>
    </tableColumn>
    <tableColumn id="6" uniqueName="Manufacturer" name="Manufacturer" dataDxfId="74">
      <xmlColumnPr mapId="1" xpath="/Document/ToolRecord/Manufacturer" xmlDataType="string"/>
    </tableColumn>
    <tableColumn id="7" uniqueName="Model" name="Model" dataDxfId="73">
      <xmlColumnPr mapId="1" xpath="/Document/ToolRecord/Model" xmlDataType="string"/>
    </tableColumn>
    <tableColumn id="8" uniqueName="EquipmentVendor" name="EquipmentVendor" dataDxfId="72">
      <xmlColumnPr mapId="1" xpath="/Document/ToolRecord/EquipmentVendor" xmlDataType="string"/>
    </tableColumn>
    <tableColumn id="9" uniqueName="VendorContactDetails" name="VendorContactDetails" dataDxfId="71">
      <xmlColumnPr mapId="1" xpath="/Document/ToolRecord/VendorContactDetails" xmlDataType="string"/>
    </tableColumn>
    <tableColumn id="10" uniqueName="ManualRefWC" name="ManualRefWC" dataDxfId="70">
      <xmlColumnPr mapId="1" xpath="/Document/ToolRecord/ManualRefWC" xmlDataType="string"/>
    </tableColumn>
    <tableColumn id="11" uniqueName="ManualRefLib" name="ManualRefLib" dataDxfId="69">
      <xmlColumnPr mapId="1" xpath="/Document/ToolRecord/ManualRefLib" xmlDataType="string"/>
    </tableColumn>
    <tableColumn id="12" uniqueName="CalRequired" name="CalRequired" dataDxfId="68">
      <xmlColumnPr mapId="1" xpath="/Document/ToolRecord/CalRequired" xmlDataType="string"/>
    </tableColumn>
    <tableColumn id="13" uniqueName="CalNotRequired" name="CalNotRequired" dataDxfId="67">
      <xmlColumnPr mapId="1" xpath="/Document/ToolRecord/CalNotRequired" xmlDataType="string"/>
    </tableColumn>
    <tableColumn id="14" uniqueName="Calibration_freq" name="Calibration_freq" dataDxfId="66">
      <xmlColumnPr mapId="1" xpath="/Document/ToolRecord/Calibration_freq" xmlDataType="string"/>
    </tableColumn>
    <tableColumn id="15" uniqueName="MaintRequired" name="MaintRequired" dataDxfId="65">
      <xmlColumnPr mapId="1" xpath="/Document/ToolRecord/MaintRequired" xmlDataType="string"/>
    </tableColumn>
    <tableColumn id="16" uniqueName="MaintNotRequired" name="MaintNotRequired" dataDxfId="64">
      <xmlColumnPr mapId="1" xpath="/Document/ToolRecord/MaintNotRequired" xmlDataType="string"/>
    </tableColumn>
    <tableColumn id="17" uniqueName="Maintenance_freq" name="Maintenance_freq" dataDxfId="63">
      <xmlColumnPr mapId="1" xpath="/Document/ToolRecord/Maintenance_freq" xmlDataType="string"/>
    </tableColumn>
    <tableColumn id="18" uniqueName="Date" name="Date" dataDxfId="62">
      <xmlColumnPr mapId="1" xpath="/Document/ToolRecord/Date" xmlDataType="string"/>
    </tableColumn>
    <tableColumn id="19" uniqueName="Doc_Number" name="Doc_Number" dataDxfId="61">
      <xmlColumnPr mapId="1" xpath="/Document/ToolRecord/Doc_Number" xmlDataType="string"/>
    </tableColumn>
    <tableColumn id="20" uniqueName="Issue" name="Issue" dataDxfId="60">
      <xmlColumnPr mapId="1" xpath="/Document/ToolRecord/Issue" xmlDataType="string"/>
    </tableColumn>
    <tableColumn id="21" uniqueName="PurposeAndScope" name="PurposeAndScope" dataDxfId="59">
      <xmlColumnPr mapId="1" xpath="/Document/ToolRecord/PurposeAndScope" xmlDataType="string"/>
    </tableColumn>
    <tableColumn id="22" uniqueName="IQRequired" name="IQRequired" dataDxfId="58">
      <xmlColumnPr mapId="1" xpath="/Document/ToolRecord/IQRequired" xmlDataType="string"/>
    </tableColumn>
    <tableColumn id="23" uniqueName="IQNotRequired" name="IQNotRequired" dataDxfId="57">
      <xmlColumnPr mapId="1" xpath="/Document/ToolRecord/IQNotRequired" xmlDataType="string"/>
    </tableColumn>
    <tableColumn id="24" uniqueName="IQNotRequiredJustification" name="IQNotRequiredJustification" dataDxfId="56">
      <xmlColumnPr mapId="1" xpath="/Document/ToolRecord/IQNotRequiredJustification" xmlDataType="string"/>
    </tableColumn>
    <tableColumn id="25" uniqueName="CalPerformed" name="CalPerformed" dataDxfId="55">
      <xmlColumnPr mapId="1" xpath="/Document/ToolRecord/CalPerformed" xmlDataType="string"/>
    </tableColumn>
    <tableColumn id="26" uniqueName="CalByContractor" name="CalByContractor" dataDxfId="54">
      <xmlColumnPr mapId="1" xpath="/Document/ToolRecord/CalByContractor" xmlDataType="string"/>
    </tableColumn>
    <tableColumn id="27" uniqueName="CalContractorDetails" name="CalContractorDetails" dataDxfId="53">
      <xmlColumnPr mapId="1" xpath="/Document/ToolRecord/CalContractorDetails" xmlDataType="string"/>
    </tableColumn>
    <tableColumn id="28" uniqueName="CalByMC" name="CalByMC" dataDxfId="52">
      <xmlColumnPr mapId="1" xpath="/Document/ToolRecord/CalByMC" xmlDataType="string"/>
    </tableColumn>
    <tableColumn id="29" uniqueName="CalNotRequired2" name="CalNotRequired2" dataDxfId="51">
      <xmlColumnPr mapId="1" xpath="/Document/ToolRecord/CalNotRequired2" xmlDataType="string"/>
    </tableColumn>
    <tableColumn id="30" uniqueName="CalNotRequired2NoMeasure" name="CalNotRequired2NoMeasure" dataDxfId="50">
      <xmlColumnPr mapId="1" xpath="/Document/ToolRecord/CalNotRequired2NoMeasure" xmlDataType="string"/>
    </tableColumn>
    <tableColumn id="31" uniqueName="CalNotRequired2NoSpecEffect" name="CalNotRequired2NoSpecEffect" dataDxfId="49">
      <xmlColumnPr mapId="1" xpath="/Document/ToolRecord/CalNotRequired2NoSpecEffect" xmlDataType="string"/>
    </tableColumn>
    <tableColumn id="32" uniqueName="CalNotRequired2NoAccEffect" name="CalNotRequired2NoAccEffect" dataDxfId="48">
      <xmlColumnPr mapId="1" xpath="/Document/ToolRecord/CalNotRequired2NoAccEffect" xmlDataType="string"/>
    </tableColumn>
    <tableColumn id="33" uniqueName="CalNotRequired2Other" name="CalNotRequired2Other" dataDxfId="47">
      <xmlColumnPr mapId="1" xpath="/Document/ToolRecord/CalNotRequired2Other" xmlDataType="string"/>
    </tableColumn>
    <tableColumn id="34" uniqueName="CalNotRequired2OtherJustification" name="CalNotRequired2OtherJustification" dataDxfId="46">
      <xmlColumnPr mapId="1" xpath="/Document/ToolRecord/CalNotRequired2OtherJustification" xmlDataType="string"/>
    </tableColumn>
    <tableColumn id="35" uniqueName="Calibration_freq2" name="Calibration_freq4" dataDxfId="45">
      <xmlColumnPr mapId="1" xpath="/Document/ToolRecord/Calibration_freq2" xmlDataType="string"/>
    </tableColumn>
    <tableColumn id="36" uniqueName="Calibration_freqOther" name="Calibration_freqOther" dataDxfId="44">
      <xmlColumnPr mapId="1" xpath="/Document/ToolRecord/Calibration_freqOther" xmlDataType="string"/>
    </tableColumn>
    <tableColumn id="37" uniqueName="Calibration" name="Calibration" dataDxfId="43">
      <xmlColumnPr mapId="1" xpath="/Document/ToolRecord/Calibration" xmlDataType="string"/>
    </tableColumn>
    <tableColumn id="38" uniqueName="CalAfterMoveJustification" name="CalAfterMoveJustification" dataDxfId="42">
      <xmlColumnPr mapId="1" xpath="/Document/ToolRecord/CalAfterMoveJustification" xmlDataType="string"/>
    </tableColumn>
    <tableColumn id="39" uniqueName="CalAfterMoveRequired" name="CalAfterMoveRequired" dataDxfId="41">
      <xmlColumnPr mapId="1" xpath="/Document/ToolRecord/CalAfterMoveRequired" xmlDataType="string"/>
    </tableColumn>
    <tableColumn id="40" uniqueName="CalAfterMoveNotRequired" name="CalAfterMoveNotRequired" dataDxfId="40">
      <xmlColumnPr mapId="1" xpath="/Document/ToolRecord/CalAfterMoveNotRequired" xmlDataType="string"/>
    </tableColumn>
    <tableColumn id="41" uniqueName="CalAfterMoveNotRequired2" name="CalAfterMoveNotRequired2" dataDxfId="39">
      <xmlColumnPr mapId="1" xpath="/Document/ToolRecord/CalAfterMoveNotRequired2" xmlDataType="string"/>
    </tableColumn>
    <tableColumn id="42" uniqueName="CalAfterMoveNotRequiredNoAccEffect" name="CalAfterMoveNotRequiredNoAccEffect" dataDxfId="38">
      <xmlColumnPr mapId="1" xpath="/Document/ToolRecord/CalAfterMoveNotRequiredNoAccEffect" xmlDataType="string"/>
    </tableColumn>
    <tableColumn id="43" uniqueName="CalAfterMoveNotRequiredOther" name="CalAfterMoveNotRequiredOther" dataDxfId="37">
      <xmlColumnPr mapId="1" xpath="/Document/ToolRecord/CalAfterMoveNotRequiredOther" xmlDataType="string"/>
    </tableColumn>
    <tableColumn id="44" uniqueName="CalAfterMoveNotRequiredOtherJustification" name="CalAfterMoveNotRequiredOtherJustification" dataDxfId="36">
      <xmlColumnPr mapId="1" xpath="/Document/ToolRecord/CalAfterMoveNotRequiredOtherJustification" xmlDataType="string"/>
    </tableColumn>
    <tableColumn id="45" uniqueName="CalTaskNo" name="CalTaskNo" dataDxfId="35">
      <xmlColumnPr mapId="1" xpath="/Document/ToolRecord/CalTaskNo" xmlDataType="string"/>
    </tableColumn>
    <tableColumn id="46" uniqueName="CalTaskName" name="CalTaskName" dataDxfId="34">
      <xmlColumnPr mapId="1" xpath="/Document/ToolRecord/CalTaskName" xmlDataType="string"/>
    </tableColumn>
    <tableColumn id="47" uniqueName="CalTaskPeriod" name="CalTaskPeriod" dataDxfId="33">
      <xmlColumnPr mapId="1" xpath="/Document/ToolRecord/CalTaskPeriod" xmlDataType="string"/>
    </tableColumn>
    <tableColumn id="48" uniqueName="CalProtectionNoCal" name="CalProtectionNoCal" dataDxfId="32">
      <xmlColumnPr mapId="1" xpath="/Document/ToolRecord/CalProtectionNoCal" xmlDataType="string"/>
    </tableColumn>
    <tableColumn id="49" uniqueName="CalProtectionNoExtAdjust" name="CalProtectionNoExtAdjust" dataDxfId="31">
      <xmlColumnPr mapId="1" xpath="/Document/ToolRecord/CalProtectionNoExtAdjust" xmlDataType="string"/>
    </tableColumn>
    <tableColumn id="50" uniqueName="CalProtectionNoNormalAdjust" name="CalProtectionNoNormalAdjust" dataDxfId="30">
      <xmlColumnPr mapId="1" xpath="/Document/ToolRecord/CalProtectionNoNormalAdjust" xmlDataType="string"/>
    </tableColumn>
    <tableColumn id="51" uniqueName="CalProtectionSafeguards" name="CalProtectionSafeguards" dataDxfId="29">
      <xmlColumnPr mapId="1" xpath="/Document/ToolRecord/CalProtectionSafeguards" xmlDataType="string"/>
    </tableColumn>
    <tableColumn id="52" uniqueName="CalProtectionSafeguardsDetail" name="CalProtectionSafeguardsDetail" dataDxfId="28">
      <xmlColumnPr mapId="1" xpath="/Document/ToolRecord/CalProtectionSafeguardsDetail" xmlDataType="string"/>
    </tableColumn>
    <tableColumn id="53" uniqueName="CalProtectionNotRequired" name="CalProtectionNotRequired" dataDxfId="27">
      <xmlColumnPr mapId="1" xpath="/Document/ToolRecord/CalProtectionNotRequired" xmlDataType="string"/>
    </tableColumn>
    <tableColumn id="54" uniqueName="CalProtectionNotRequiredJustification" name="CalProtectionNotRequiredJustification" dataDxfId="26">
      <xmlColumnPr mapId="1" xpath="/Document/ToolRecord/CalProtectionNotRequiredJustification" xmlDataType="string"/>
    </tableColumn>
    <tableColumn id="55" uniqueName="MaintPerformed" name="MaintPerformed" dataDxfId="25">
      <xmlColumnPr mapId="1" xpath="/Document/ToolRecord/MaintPerformed" xmlDataType="string"/>
    </tableColumn>
    <tableColumn id="56" uniqueName="MaintByContractor" name="MaintByContractor" dataDxfId="24">
      <xmlColumnPr mapId="1" xpath="/Document/ToolRecord/MaintByContractor" xmlDataType="string"/>
    </tableColumn>
    <tableColumn id="57" uniqueName="MaintContractorDetails" name="MaintContractorDetails" dataDxfId="23">
      <xmlColumnPr mapId="1" xpath="/Document/ToolRecord/MaintContractorDetails" xmlDataType="string"/>
    </tableColumn>
    <tableColumn id="58" uniqueName="MaintByMC" name="MaintByMC" dataDxfId="22">
      <xmlColumnPr mapId="1" xpath="/Document/ToolRecord/MaintByMC" xmlDataType="string"/>
    </tableColumn>
    <tableColumn id="59" uniqueName="MaintNotRequired2" name="MaintNotRequired2" dataDxfId="21">
      <xmlColumnPr mapId="1" xpath="/Document/ToolRecord/MaintNotRequired2" xmlDataType="string"/>
    </tableColumn>
    <tableColumn id="60" uniqueName="MaintNotRequired2NoElements" name="MaintNotRequired2NoElements" dataDxfId="20">
      <xmlColumnPr mapId="1" xpath="/Document/ToolRecord/MaintNotRequired2NoElements" xmlDataType="string"/>
    </tableColumn>
    <tableColumn id="61" uniqueName="MaintNotRequired2ByOps" name="MaintNotRequired2ByOps" dataDxfId="19">
      <xmlColumnPr mapId="1" xpath="/Document/ToolRecord/MaintNotRequired2ByOps" xmlDataType="string"/>
    </tableColumn>
    <tableColumn id="62" uniqueName="CareSheet" name="CareSheet" dataDxfId="18">
      <xmlColumnPr mapId="1" xpath="/Document/ToolRecord/CareSheet" xmlDataType="string"/>
    </tableColumn>
    <tableColumn id="63" uniqueName="MaintNotRequired2Other" name="MaintNotRequired2Other" dataDxfId="17">
      <xmlColumnPr mapId="1" xpath="/Document/ToolRecord/MaintNotRequired2Other" xmlDataType="string"/>
    </tableColumn>
    <tableColumn id="64" uniqueName="MaintNotRequired2OtherJustification" name="MaintNotRequired2OtherJustification" dataDxfId="16">
      <xmlColumnPr mapId="1" xpath="/Document/ToolRecord/MaintNotRequired2OtherJustification" xmlDataType="string"/>
    </tableColumn>
    <tableColumn id="65" uniqueName="Maintenance_freq2" name="Maintenance_freq5" dataDxfId="15">
      <xmlColumnPr mapId="1" xpath="/Document/ToolRecord/Maintenance_freq2" xmlDataType="string"/>
    </tableColumn>
    <tableColumn id="66" uniqueName="Maintenance_freqOther" name="Maintenance_freqOther" dataDxfId="14">
      <xmlColumnPr mapId="1" xpath="/Document/ToolRecord/Maintenance_freqOther" xmlDataType="string"/>
    </tableColumn>
    <tableColumn id="67" uniqueName="Maintenance" name="Maintenance" dataDxfId="13">
      <xmlColumnPr mapId="1" xpath="/Document/ToolRecord/Maintenance" xmlDataType="string"/>
    </tableColumn>
    <tableColumn id="68" uniqueName="MaintTaskNo" name="MaintTaskNo" dataDxfId="12">
      <xmlColumnPr mapId="1" xpath="/Document/ToolRecord/MaintTaskNo" xmlDataType="string"/>
    </tableColumn>
    <tableColumn id="69" uniqueName="MaintTaskName" name="MaintTaskName" dataDxfId="11">
      <xmlColumnPr mapId="1" xpath="/Document/ToolRecord/MaintTaskName" xmlDataType="string"/>
    </tableColumn>
    <tableColumn id="70" uniqueName="MaintTaskPeriod" name="MaintTaskPeriod" dataDxfId="10">
      <xmlColumnPr mapId="1" xpath="/Document/ToolRecord/MaintTaskPeriod" xmlDataType="string"/>
    </tableColumn>
    <tableColumn id="71" uniqueName="SparesListWC" name="SparesListWC" dataDxfId="9">
      <xmlColumnPr mapId="1" xpath="/Document/ToolRecord/SparesListWC" xmlDataType="string"/>
    </tableColumn>
    <tableColumn id="72" uniqueName="SparesListWCRef" name="SparesListWCRef" dataDxfId="8">
      <xmlColumnPr mapId="1" xpath="/Document/ToolRecord/SparesListWCRef" xmlDataType="string"/>
    </tableColumn>
    <tableColumn id="73" uniqueName="SparesListSimple" name="SparesListSimple" dataDxfId="7">
      <xmlColumnPr mapId="1" xpath="/Document/ToolRecord/SparesListSimple" xmlDataType="string"/>
    </tableColumn>
    <tableColumn id="74" uniqueName="SparesListSimpleDetails" name="SparesListSimpleDetails" dataDxfId="6">
      <xmlColumnPr mapId="1" xpath="/Document/ToolRecord/SparesListSimpleDetails" xmlDataType="string"/>
    </tableColumn>
    <tableColumn id="75" uniqueName="SparesListNotRequired" name="SparesListNotRequired" dataDxfId="5">
      <xmlColumnPr mapId="1" xpath="/Document/ToolRecord/SparesListNotRequired" xmlDataType="string"/>
    </tableColumn>
    <tableColumn id="76" uniqueName="SparesListNotRequiredDuplicateTool" name="SparesListNotRequiredDuplicateTool" dataDxfId="4">
      <xmlColumnPr mapId="1" xpath="/Document/ToolRecord/SparesListNotRequiredDuplicateTool" xmlDataType="string"/>
    </tableColumn>
    <tableColumn id="77" uniqueName="SparesListNotRequiredOther" name="SparesListNotRequiredOther" dataDxfId="3">
      <xmlColumnPr mapId="1" xpath="/Document/ToolRecord/SparesListNotRequiredOther" xmlDataType="string"/>
    </tableColumn>
    <tableColumn id="78" uniqueName="SparesListNotRequiredOtherJustification" name="SparesListNotRequiredOtherJustification" dataDxfId="2">
      <xmlColumnPr mapId="1" xpath="/Document/ToolRecord/SparesListNotRequiredOtherJustification" xmlDataType="string"/>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
  <sheetViews>
    <sheetView showGridLines="0" showRowColHeaders="0" zoomScale="175" zoomScaleNormal="175" workbookViewId="0">
      <selection activeCell="C7" sqref="C7"/>
    </sheetView>
  </sheetViews>
  <sheetFormatPr defaultRowHeight="12.75" x14ac:dyDescent="0.2"/>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owMenu">
                <anchor moveWithCells="1" sizeWithCells="1">
                  <from>
                    <xdr:col>0</xdr:col>
                    <xdr:colOff>0</xdr:colOff>
                    <xdr:row>0</xdr:row>
                    <xdr:rowOff>0</xdr:rowOff>
                  </from>
                  <to>
                    <xdr:col>2</xdr:col>
                    <xdr:colOff>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H18"/>
  <sheetViews>
    <sheetView zoomScale="80" zoomScaleNormal="80" workbookViewId="0">
      <pane ySplit="9" topLeftCell="A10" activePane="bottomLeft" state="frozen"/>
      <selection pane="bottomLeft" activeCell="B32" sqref="B32"/>
    </sheetView>
  </sheetViews>
  <sheetFormatPr defaultRowHeight="12.75" x14ac:dyDescent="0.2"/>
  <cols>
    <col min="1" max="1" width="9.140625" style="7" customWidth="1"/>
    <col min="2" max="2" width="40.5703125" style="7" customWidth="1"/>
    <col min="3" max="3" width="26.140625" style="7" customWidth="1"/>
    <col min="4" max="4" width="14.7109375" style="7" bestFit="1" customWidth="1"/>
    <col min="5" max="5" width="22" style="7" customWidth="1"/>
    <col min="6" max="6" width="16.7109375" style="7" customWidth="1"/>
    <col min="7" max="8" width="12.7109375" style="7" customWidth="1"/>
    <col min="9" max="9" width="11.42578125" style="7" bestFit="1" customWidth="1"/>
    <col min="10" max="10" width="12.7109375" style="7" customWidth="1"/>
    <col min="11" max="11" width="12.5703125" style="7" customWidth="1"/>
    <col min="12" max="12" width="11.5703125" style="7" customWidth="1"/>
    <col min="13" max="13" width="10.42578125" style="7" customWidth="1"/>
    <col min="14" max="14" width="9.7109375" style="7" customWidth="1"/>
    <col min="15" max="15" width="8.7109375" style="7" customWidth="1"/>
    <col min="16" max="17" width="8" style="7" customWidth="1"/>
    <col min="18" max="18" width="7.85546875" style="7" customWidth="1"/>
    <col min="19" max="19" width="9.7109375" style="7" customWidth="1"/>
    <col min="20" max="20" width="10" style="7" customWidth="1"/>
    <col min="21" max="21" width="18.85546875" style="7" customWidth="1"/>
    <col min="22" max="22" width="9.140625" style="7"/>
    <col min="23" max="23" width="12" style="7" customWidth="1"/>
    <col min="24" max="24" width="14.5703125" style="7" customWidth="1"/>
    <col min="25" max="25" width="12.140625" style="7" customWidth="1"/>
    <col min="26" max="26" width="11.85546875" style="7" customWidth="1"/>
    <col min="27" max="27" width="11.42578125" style="7" customWidth="1"/>
    <col min="28" max="28" width="12.28515625" style="7" customWidth="1"/>
    <col min="29" max="29" width="10" style="7" customWidth="1"/>
    <col min="30" max="30" width="13.7109375" style="7" customWidth="1"/>
    <col min="31" max="31" width="9.140625" style="7"/>
    <col min="32" max="32" width="14.140625" style="7" customWidth="1"/>
    <col min="33" max="33" width="17.7109375" style="7" customWidth="1"/>
    <col min="34" max="34" width="19.7109375" style="7" customWidth="1"/>
    <col min="35" max="35" width="19.5703125" style="7" customWidth="1"/>
    <col min="36" max="36" width="19.7109375" style="7" customWidth="1"/>
    <col min="37" max="37" width="16.85546875" style="7" customWidth="1"/>
    <col min="38" max="38" width="18.42578125" style="7" customWidth="1"/>
    <col min="39" max="39" width="11.140625" style="7" bestFit="1" customWidth="1"/>
    <col min="40" max="40" width="17" style="7" customWidth="1"/>
    <col min="41" max="41" width="16" style="7" customWidth="1"/>
    <col min="42" max="42" width="13" style="7" customWidth="1"/>
    <col min="43" max="43" width="10.85546875" style="7" customWidth="1"/>
    <col min="44" max="44" width="18.85546875" style="7" customWidth="1"/>
    <col min="45" max="45" width="14.85546875" style="7" customWidth="1"/>
    <col min="46" max="46" width="18.42578125" style="7" customWidth="1"/>
    <col min="47" max="47" width="12.85546875" style="7" customWidth="1"/>
    <col min="48" max="48" width="17.5703125" style="7" customWidth="1"/>
    <col min="49" max="49" width="10.85546875" style="7" customWidth="1"/>
    <col min="50" max="50" width="14.140625" style="7" customWidth="1"/>
    <col min="51" max="51" width="11.5703125" style="7" customWidth="1"/>
    <col min="52" max="52" width="12.85546875" style="7" customWidth="1"/>
    <col min="53" max="53" width="16" style="7" customWidth="1"/>
    <col min="54" max="54" width="14.42578125" style="7" customWidth="1"/>
    <col min="55" max="55" width="17" style="7" customWidth="1"/>
    <col min="56" max="56" width="14.5703125" style="7" customWidth="1"/>
    <col min="57" max="57" width="19" style="7" customWidth="1"/>
    <col min="58" max="58" width="137.7109375" style="7" bestFit="1" customWidth="1"/>
    <col min="59" max="59" width="9.140625" style="10" bestFit="1" customWidth="1"/>
    <col min="60" max="16384" width="9.140625" style="9"/>
  </cols>
  <sheetData>
    <row r="1" spans="1:79" s="8" customFormat="1" ht="64.5" thickBot="1" x14ac:dyDescent="0.25">
      <c r="A1" s="1" t="s">
        <v>4</v>
      </c>
      <c r="B1" s="2" t="s">
        <v>125</v>
      </c>
      <c r="C1" s="3" t="s">
        <v>37</v>
      </c>
      <c r="D1" s="1" t="s">
        <v>38</v>
      </c>
      <c r="E1" s="1" t="s">
        <v>39</v>
      </c>
      <c r="F1" s="1" t="s">
        <v>40</v>
      </c>
      <c r="G1" s="1" t="s">
        <v>41</v>
      </c>
      <c r="H1" s="1" t="s">
        <v>42</v>
      </c>
      <c r="I1" s="1" t="s">
        <v>43</v>
      </c>
      <c r="J1" s="1" t="s">
        <v>44</v>
      </c>
      <c r="K1" s="1" t="s">
        <v>126</v>
      </c>
      <c r="L1" s="2" t="s">
        <v>45</v>
      </c>
      <c r="M1" s="2" t="s">
        <v>3</v>
      </c>
      <c r="N1" s="2" t="s">
        <v>2</v>
      </c>
      <c r="O1" s="3" t="s">
        <v>46</v>
      </c>
      <c r="P1" s="3" t="s">
        <v>47</v>
      </c>
      <c r="Q1" s="3" t="s">
        <v>48</v>
      </c>
      <c r="R1" s="3" t="s">
        <v>49</v>
      </c>
      <c r="S1" s="4" t="s">
        <v>50</v>
      </c>
      <c r="T1" s="4" t="s">
        <v>51</v>
      </c>
      <c r="U1" s="4" t="s">
        <v>58</v>
      </c>
      <c r="V1" s="4" t="s">
        <v>52</v>
      </c>
      <c r="W1" s="4" t="s">
        <v>53</v>
      </c>
      <c r="X1" s="4" t="s">
        <v>54</v>
      </c>
      <c r="Y1" s="4" t="s">
        <v>55</v>
      </c>
      <c r="Z1" s="4" t="s">
        <v>56</v>
      </c>
      <c r="AA1" s="4" t="s">
        <v>57</v>
      </c>
      <c r="AB1" s="4" t="s">
        <v>60</v>
      </c>
      <c r="AC1" s="4" t="s">
        <v>6</v>
      </c>
      <c r="AD1" s="4" t="s">
        <v>59</v>
      </c>
      <c r="AE1" s="4" t="s">
        <v>61</v>
      </c>
      <c r="AF1" s="4" t="s">
        <v>62</v>
      </c>
      <c r="AG1" s="4" t="s">
        <v>63</v>
      </c>
      <c r="AH1" s="4" t="s">
        <v>64</v>
      </c>
      <c r="AI1" s="4" t="s">
        <v>65</v>
      </c>
      <c r="AJ1" s="4" t="s">
        <v>66</v>
      </c>
      <c r="AK1" s="4" t="s">
        <v>68</v>
      </c>
      <c r="AL1" s="4" t="s">
        <v>67</v>
      </c>
      <c r="AM1" s="4" t="s">
        <v>69</v>
      </c>
      <c r="AN1" s="4" t="s">
        <v>70</v>
      </c>
      <c r="AO1" s="4" t="s">
        <v>72</v>
      </c>
      <c r="AP1" s="4" t="s">
        <v>71</v>
      </c>
      <c r="AQ1" s="4" t="s">
        <v>73</v>
      </c>
      <c r="AR1" s="4" t="s">
        <v>74</v>
      </c>
      <c r="AS1" s="4" t="s">
        <v>75</v>
      </c>
      <c r="AT1" s="4" t="s">
        <v>76</v>
      </c>
      <c r="AU1" s="4" t="s">
        <v>77</v>
      </c>
      <c r="AV1" s="4" t="s">
        <v>78</v>
      </c>
      <c r="AW1" s="4" t="s">
        <v>5</v>
      </c>
      <c r="AX1" s="4" t="s">
        <v>79</v>
      </c>
      <c r="AY1" s="4" t="s">
        <v>80</v>
      </c>
      <c r="AZ1" s="6" t="s">
        <v>81</v>
      </c>
      <c r="BA1" s="6" t="s">
        <v>82</v>
      </c>
      <c r="BB1" s="6" t="s">
        <v>83</v>
      </c>
      <c r="BC1" s="6" t="s">
        <v>84</v>
      </c>
      <c r="BD1" s="6" t="s">
        <v>85</v>
      </c>
      <c r="BE1" s="6" t="s">
        <v>86</v>
      </c>
      <c r="BF1" s="5" t="s">
        <v>87</v>
      </c>
      <c r="BG1" s="5" t="s">
        <v>106</v>
      </c>
    </row>
    <row r="2" spans="1:79" s="30" customFormat="1" ht="19.5" hidden="1" customHeight="1" thickTop="1" x14ac:dyDescent="0.2">
      <c r="A2" s="27" t="s">
        <v>18</v>
      </c>
      <c r="B2" s="27" t="s">
        <v>17</v>
      </c>
      <c r="C2" s="27"/>
      <c r="D2" s="27"/>
      <c r="E2" s="27"/>
      <c r="F2" s="27"/>
      <c r="G2" s="27"/>
      <c r="H2" s="27" t="s">
        <v>9</v>
      </c>
      <c r="I2" s="27" t="s">
        <v>10</v>
      </c>
      <c r="J2" s="27" t="s">
        <v>9</v>
      </c>
      <c r="K2" s="27" t="s">
        <v>10</v>
      </c>
      <c r="L2" s="29" t="s">
        <v>21</v>
      </c>
      <c r="M2" s="27" t="s">
        <v>16</v>
      </c>
      <c r="N2" s="27" t="s">
        <v>19</v>
      </c>
      <c r="O2" s="27" t="s">
        <v>9</v>
      </c>
      <c r="P2" s="27" t="s">
        <v>9</v>
      </c>
      <c r="Q2" s="27"/>
      <c r="R2" s="27"/>
      <c r="S2" s="27" t="s">
        <v>9</v>
      </c>
      <c r="T2" s="27"/>
      <c r="U2" s="27" t="s">
        <v>23</v>
      </c>
      <c r="V2" s="27" t="s">
        <v>11</v>
      </c>
      <c r="W2" s="27" t="s">
        <v>12</v>
      </c>
      <c r="X2" s="27" t="s">
        <v>13</v>
      </c>
      <c r="Y2" s="27" t="s">
        <v>13</v>
      </c>
      <c r="Z2" s="27" t="s">
        <v>14</v>
      </c>
      <c r="AA2" s="27" t="s">
        <v>15</v>
      </c>
      <c r="AB2" s="27" t="s">
        <v>22</v>
      </c>
      <c r="AC2" s="27" t="s">
        <v>8</v>
      </c>
      <c r="AD2" s="27" t="s">
        <v>22</v>
      </c>
      <c r="AE2" s="27"/>
      <c r="AF2" s="27" t="s">
        <v>9</v>
      </c>
      <c r="AG2" s="27" t="s">
        <v>9</v>
      </c>
      <c r="AH2" s="27" t="s">
        <v>10</v>
      </c>
      <c r="AI2" s="27" t="s">
        <v>11</v>
      </c>
      <c r="AJ2" s="27" t="s">
        <v>24</v>
      </c>
      <c r="AK2" s="27" t="s">
        <v>11</v>
      </c>
      <c r="AL2" s="27" t="s">
        <v>22</v>
      </c>
      <c r="AM2" s="27"/>
      <c r="AN2" s="27"/>
      <c r="AO2" s="27" t="s">
        <v>23</v>
      </c>
      <c r="AP2" s="27" t="s">
        <v>11</v>
      </c>
      <c r="AQ2" s="27"/>
      <c r="AR2" s="27" t="s">
        <v>13</v>
      </c>
      <c r="AS2" s="27" t="s">
        <v>13</v>
      </c>
      <c r="AT2" s="27"/>
      <c r="AU2" s="27"/>
      <c r="AV2" s="27" t="s">
        <v>22</v>
      </c>
      <c r="AW2" s="27" t="s">
        <v>20</v>
      </c>
      <c r="AX2" s="27" t="s">
        <v>22</v>
      </c>
      <c r="AY2" s="27"/>
      <c r="AZ2" s="27"/>
      <c r="BA2" s="27"/>
      <c r="BB2" s="27"/>
      <c r="BC2" s="27" t="s">
        <v>13</v>
      </c>
      <c r="BD2" s="27"/>
      <c r="BE2" s="27"/>
      <c r="BF2" s="27"/>
      <c r="BG2" s="27"/>
    </row>
    <row r="3" spans="1:79" s="30" customFormat="1" ht="19.5" hidden="1" customHeight="1" thickBot="1" x14ac:dyDescent="0.25">
      <c r="A3" s="31" t="s">
        <v>107</v>
      </c>
      <c r="B3" s="31" t="s">
        <v>108</v>
      </c>
      <c r="C3" s="31" t="s">
        <v>1</v>
      </c>
      <c r="D3" s="31" t="s">
        <v>7</v>
      </c>
      <c r="E3" s="31" t="s">
        <v>109</v>
      </c>
      <c r="F3" s="31" t="s">
        <v>110</v>
      </c>
      <c r="G3" s="31" t="s">
        <v>111</v>
      </c>
      <c r="H3" s="31" t="b">
        <v>0</v>
      </c>
      <c r="I3" s="31" t="b">
        <v>0</v>
      </c>
      <c r="J3" s="31" t="b">
        <v>0</v>
      </c>
      <c r="K3" s="31" t="b">
        <v>0</v>
      </c>
      <c r="L3" s="32">
        <v>40180</v>
      </c>
      <c r="M3" s="31">
        <v>123456</v>
      </c>
      <c r="N3" s="31">
        <v>1</v>
      </c>
      <c r="O3" s="31" t="b">
        <v>0</v>
      </c>
      <c r="P3" s="31" t="b">
        <v>0</v>
      </c>
      <c r="Q3" s="31" t="b">
        <v>0</v>
      </c>
      <c r="R3" s="31" t="s">
        <v>1</v>
      </c>
      <c r="S3" s="31" t="b">
        <v>0</v>
      </c>
      <c r="T3" s="31" t="b">
        <v>0</v>
      </c>
      <c r="U3" s="31" t="s">
        <v>1</v>
      </c>
      <c r="V3" s="31" t="b">
        <v>0</v>
      </c>
      <c r="W3" s="31" t="b">
        <v>0</v>
      </c>
      <c r="X3" s="31" t="b">
        <v>0</v>
      </c>
      <c r="Y3" s="31" t="b">
        <v>0</v>
      </c>
      <c r="Z3" s="31" t="b">
        <v>0</v>
      </c>
      <c r="AA3" s="31" t="b">
        <v>0</v>
      </c>
      <c r="AB3" s="31" t="s">
        <v>1</v>
      </c>
      <c r="AC3" s="31" t="s">
        <v>0</v>
      </c>
      <c r="AD3" s="31" t="s">
        <v>1</v>
      </c>
      <c r="AE3" s="31" t="s">
        <v>0</v>
      </c>
      <c r="AF3" s="31" t="b">
        <v>0</v>
      </c>
      <c r="AG3" s="31" t="b">
        <v>0</v>
      </c>
      <c r="AH3" s="31" t="b">
        <v>0</v>
      </c>
      <c r="AI3" s="31" t="b">
        <v>0</v>
      </c>
      <c r="AJ3" s="31" t="s">
        <v>1</v>
      </c>
      <c r="AK3" s="31" t="b">
        <v>0</v>
      </c>
      <c r="AL3" s="31" t="s">
        <v>1</v>
      </c>
      <c r="AM3" s="31" t="b">
        <v>0</v>
      </c>
      <c r="AN3" s="31" t="b">
        <v>0</v>
      </c>
      <c r="AO3" s="31" t="s">
        <v>1</v>
      </c>
      <c r="AP3" s="31" t="b">
        <v>0</v>
      </c>
      <c r="AQ3" s="31" t="b">
        <v>0</v>
      </c>
      <c r="AR3" s="31" t="b">
        <v>0</v>
      </c>
      <c r="AS3" s="31" t="b">
        <v>0</v>
      </c>
      <c r="AT3" s="31" t="s">
        <v>1</v>
      </c>
      <c r="AU3" s="31" t="b">
        <v>0</v>
      </c>
      <c r="AV3" s="31" t="s">
        <v>1</v>
      </c>
      <c r="AW3" s="31" t="s">
        <v>0</v>
      </c>
      <c r="AX3" s="31" t="s">
        <v>1</v>
      </c>
      <c r="AY3" s="31" t="s">
        <v>0</v>
      </c>
      <c r="AZ3" s="31" t="b">
        <v>0</v>
      </c>
      <c r="BA3" s="31" t="s">
        <v>1</v>
      </c>
      <c r="BB3" s="31" t="b">
        <v>0</v>
      </c>
      <c r="BC3" s="31" t="b">
        <v>0</v>
      </c>
      <c r="BD3" s="31" t="b">
        <v>0</v>
      </c>
      <c r="BE3" s="31" t="s">
        <v>1</v>
      </c>
      <c r="BF3" s="28" t="s">
        <v>112</v>
      </c>
      <c r="BG3" s="28" t="s">
        <v>25</v>
      </c>
    </row>
    <row r="4" spans="1:79" s="30" customFormat="1" ht="19.5" hidden="1" customHeight="1" thickTop="1" x14ac:dyDescent="0.2">
      <c r="A4" s="27" t="s">
        <v>18</v>
      </c>
      <c r="B4" s="27" t="s">
        <v>17</v>
      </c>
      <c r="C4" s="27"/>
      <c r="D4" s="27"/>
      <c r="E4" s="27"/>
      <c r="F4" s="27"/>
      <c r="G4" s="27"/>
      <c r="H4" s="27" t="s">
        <v>9</v>
      </c>
      <c r="I4" s="27" t="s">
        <v>10</v>
      </c>
      <c r="J4" s="27" t="s">
        <v>9</v>
      </c>
      <c r="K4" s="27" t="s">
        <v>10</v>
      </c>
      <c r="L4" s="29" t="s">
        <v>21</v>
      </c>
      <c r="M4" s="27" t="s">
        <v>16</v>
      </c>
      <c r="N4" s="27" t="s">
        <v>19</v>
      </c>
      <c r="O4" s="33"/>
      <c r="P4" s="33"/>
      <c r="Q4" s="33"/>
      <c r="R4" s="33"/>
      <c r="S4" s="27" t="s">
        <v>9</v>
      </c>
      <c r="T4" s="27"/>
      <c r="U4" s="27" t="s">
        <v>23</v>
      </c>
      <c r="V4" s="27" t="s">
        <v>11</v>
      </c>
      <c r="W4" s="27" t="s">
        <v>12</v>
      </c>
      <c r="X4" s="27" t="s">
        <v>13</v>
      </c>
      <c r="Y4" s="27" t="s">
        <v>13</v>
      </c>
      <c r="Z4" s="27" t="s">
        <v>14</v>
      </c>
      <c r="AA4" s="27" t="s">
        <v>15</v>
      </c>
      <c r="AB4" s="27" t="s">
        <v>22</v>
      </c>
      <c r="AC4" s="27" t="s">
        <v>8</v>
      </c>
      <c r="AD4" s="27" t="s">
        <v>22</v>
      </c>
      <c r="AE4" s="27"/>
      <c r="AF4" s="27" t="s">
        <v>9</v>
      </c>
      <c r="AG4" s="27" t="s">
        <v>9</v>
      </c>
      <c r="AH4" s="27" t="s">
        <v>10</v>
      </c>
      <c r="AI4" s="27" t="s">
        <v>11</v>
      </c>
      <c r="AJ4" s="27" t="s">
        <v>24</v>
      </c>
      <c r="AK4" s="27" t="s">
        <v>11</v>
      </c>
      <c r="AL4" s="27" t="s">
        <v>22</v>
      </c>
      <c r="AM4" s="27"/>
      <c r="AN4" s="27"/>
      <c r="AO4" s="27" t="s">
        <v>23</v>
      </c>
      <c r="AP4" s="27" t="s">
        <v>11</v>
      </c>
      <c r="AQ4" s="27"/>
      <c r="AR4" s="27" t="s">
        <v>13</v>
      </c>
      <c r="AS4" s="27" t="s">
        <v>13</v>
      </c>
      <c r="AT4" s="27"/>
      <c r="AU4" s="27"/>
      <c r="AV4" s="27" t="s">
        <v>22</v>
      </c>
      <c r="AW4" s="27" t="s">
        <v>20</v>
      </c>
      <c r="AX4" s="27" t="s">
        <v>22</v>
      </c>
      <c r="AY4" s="27"/>
      <c r="AZ4" s="33"/>
      <c r="BA4" s="33"/>
      <c r="BB4" s="33"/>
      <c r="BC4" s="33"/>
      <c r="BD4" s="33"/>
      <c r="BE4" s="33"/>
      <c r="BF4" s="27"/>
      <c r="BG4" s="27"/>
    </row>
    <row r="5" spans="1:79" s="34" customFormat="1" ht="19.5" hidden="1" customHeight="1" thickBot="1" x14ac:dyDescent="0.25">
      <c r="A5" s="31" t="s">
        <v>26</v>
      </c>
      <c r="B5" s="31" t="s">
        <v>27</v>
      </c>
      <c r="C5" s="31" t="s">
        <v>28</v>
      </c>
      <c r="D5" s="31" t="s">
        <v>29</v>
      </c>
      <c r="E5" s="31" t="s">
        <v>30</v>
      </c>
      <c r="F5" s="31">
        <v>331423</v>
      </c>
      <c r="G5" s="31" t="s">
        <v>31</v>
      </c>
      <c r="H5" s="31" t="b">
        <v>1</v>
      </c>
      <c r="I5" s="31" t="b">
        <v>1</v>
      </c>
      <c r="J5" s="31" t="b">
        <v>1</v>
      </c>
      <c r="K5" s="31" t="b">
        <v>1</v>
      </c>
      <c r="L5" s="32" t="s">
        <v>32</v>
      </c>
      <c r="M5" s="31">
        <v>331419</v>
      </c>
      <c r="N5" s="31">
        <v>1</v>
      </c>
      <c r="O5" s="31" t="b">
        <v>1</v>
      </c>
      <c r="P5" s="31" t="b">
        <v>1</v>
      </c>
      <c r="Q5" s="31" t="b">
        <v>1</v>
      </c>
      <c r="R5" s="31" t="s">
        <v>88</v>
      </c>
      <c r="S5" s="31" t="b">
        <v>1</v>
      </c>
      <c r="T5" s="31" t="b">
        <v>1</v>
      </c>
      <c r="U5" s="31" t="s">
        <v>33</v>
      </c>
      <c r="V5" s="31" t="b">
        <v>1</v>
      </c>
      <c r="W5" s="31" t="b">
        <v>1</v>
      </c>
      <c r="X5" s="31" t="b">
        <v>1</v>
      </c>
      <c r="Y5" s="31" t="b">
        <v>1</v>
      </c>
      <c r="Z5" s="31" t="b">
        <v>1</v>
      </c>
      <c r="AA5" s="31" t="b">
        <v>1</v>
      </c>
      <c r="AB5" s="31" t="s">
        <v>1</v>
      </c>
      <c r="AC5" s="31" t="s">
        <v>89</v>
      </c>
      <c r="AD5" s="31" t="s">
        <v>90</v>
      </c>
      <c r="AE5" s="31" t="s">
        <v>0</v>
      </c>
      <c r="AF5" s="31" t="b">
        <v>1</v>
      </c>
      <c r="AG5" s="31" t="b">
        <v>1</v>
      </c>
      <c r="AH5" s="31" t="b">
        <v>1</v>
      </c>
      <c r="AI5" s="31" t="b">
        <v>1</v>
      </c>
      <c r="AJ5" s="31" t="s">
        <v>34</v>
      </c>
      <c r="AK5" s="31" t="b">
        <v>1</v>
      </c>
      <c r="AL5" s="31" t="s">
        <v>91</v>
      </c>
      <c r="AM5" s="31" t="b">
        <v>1</v>
      </c>
      <c r="AN5" s="31" t="b">
        <v>1</v>
      </c>
      <c r="AO5" s="31" t="s">
        <v>92</v>
      </c>
      <c r="AP5" s="31" t="b">
        <v>1</v>
      </c>
      <c r="AQ5" s="31" t="b">
        <v>1</v>
      </c>
      <c r="AR5" s="31" t="b">
        <v>1</v>
      </c>
      <c r="AS5" s="31" t="b">
        <v>1</v>
      </c>
      <c r="AT5" s="31" t="s">
        <v>93</v>
      </c>
      <c r="AU5" s="31" t="b">
        <v>1</v>
      </c>
      <c r="AV5" s="31" t="s">
        <v>35</v>
      </c>
      <c r="AW5" s="31" t="s">
        <v>94</v>
      </c>
      <c r="AX5" s="31" t="s">
        <v>95</v>
      </c>
      <c r="AY5" s="31" t="s">
        <v>96</v>
      </c>
      <c r="AZ5" s="31" t="b">
        <v>0</v>
      </c>
      <c r="BA5" s="31" t="s">
        <v>1</v>
      </c>
      <c r="BB5" s="31" t="b">
        <v>0</v>
      </c>
      <c r="BC5" s="31" t="b">
        <v>0</v>
      </c>
      <c r="BD5" s="31" t="b">
        <v>0</v>
      </c>
      <c r="BE5" s="31" t="s">
        <v>1</v>
      </c>
      <c r="BF5" s="28" t="s">
        <v>36</v>
      </c>
      <c r="BG5" s="28">
        <v>7</v>
      </c>
    </row>
    <row r="6" spans="1:79" s="30" customFormat="1" ht="19.5" hidden="1" customHeight="1" thickTop="1" x14ac:dyDescent="0.2">
      <c r="A6" s="27" t="s">
        <v>18</v>
      </c>
      <c r="B6" s="27" t="s">
        <v>17</v>
      </c>
      <c r="C6" s="27"/>
      <c r="D6" s="27"/>
      <c r="E6" s="27"/>
      <c r="F6" s="27"/>
      <c r="G6" s="27"/>
      <c r="H6" s="27" t="s">
        <v>9</v>
      </c>
      <c r="I6" s="27" t="s">
        <v>10</v>
      </c>
      <c r="J6" s="27" t="s">
        <v>9</v>
      </c>
      <c r="K6" s="27" t="s">
        <v>10</v>
      </c>
      <c r="L6" s="29" t="s">
        <v>21</v>
      </c>
      <c r="M6" s="27" t="s">
        <v>16</v>
      </c>
      <c r="N6" s="27" t="s">
        <v>19</v>
      </c>
      <c r="O6" s="33"/>
      <c r="P6" s="33"/>
      <c r="Q6" s="33"/>
      <c r="R6" s="33"/>
      <c r="S6" s="27" t="s">
        <v>9</v>
      </c>
      <c r="T6" s="27"/>
      <c r="U6" s="27" t="s">
        <v>23</v>
      </c>
      <c r="V6" s="27" t="s">
        <v>11</v>
      </c>
      <c r="W6" s="27" t="s">
        <v>12</v>
      </c>
      <c r="X6" s="27" t="s">
        <v>13</v>
      </c>
      <c r="Y6" s="27" t="s">
        <v>13</v>
      </c>
      <c r="Z6" s="27" t="s">
        <v>14</v>
      </c>
      <c r="AA6" s="27" t="s">
        <v>15</v>
      </c>
      <c r="AB6" s="27" t="s">
        <v>22</v>
      </c>
      <c r="AC6" s="27" t="s">
        <v>8</v>
      </c>
      <c r="AD6" s="27" t="s">
        <v>22</v>
      </c>
      <c r="AE6" s="27"/>
      <c r="AF6" s="27" t="s">
        <v>9</v>
      </c>
      <c r="AG6" s="27" t="s">
        <v>9</v>
      </c>
      <c r="AH6" s="27" t="s">
        <v>10</v>
      </c>
      <c r="AI6" s="27" t="s">
        <v>11</v>
      </c>
      <c r="AJ6" s="27" t="s">
        <v>24</v>
      </c>
      <c r="AK6" s="27" t="s">
        <v>11</v>
      </c>
      <c r="AL6" s="27" t="s">
        <v>22</v>
      </c>
      <c r="AM6" s="27"/>
      <c r="AN6" s="27"/>
      <c r="AO6" s="27" t="s">
        <v>23</v>
      </c>
      <c r="AP6" s="27" t="s">
        <v>11</v>
      </c>
      <c r="AQ6" s="27"/>
      <c r="AR6" s="27" t="s">
        <v>13</v>
      </c>
      <c r="AS6" s="27" t="s">
        <v>13</v>
      </c>
      <c r="AT6" s="27"/>
      <c r="AU6" s="27"/>
      <c r="AV6" s="27" t="s">
        <v>22</v>
      </c>
      <c r="AW6" s="27" t="s">
        <v>20</v>
      </c>
      <c r="AX6" s="27" t="s">
        <v>22</v>
      </c>
      <c r="AY6" s="27"/>
      <c r="AZ6" s="33"/>
      <c r="BA6" s="33"/>
      <c r="BB6" s="33"/>
      <c r="BC6" s="33"/>
      <c r="BD6" s="33"/>
      <c r="BE6" s="33"/>
      <c r="BF6" s="27"/>
      <c r="BG6" s="27"/>
    </row>
    <row r="7" spans="1:79" s="34" customFormat="1" ht="19.5" hidden="1" customHeight="1" thickBot="1" x14ac:dyDescent="0.25">
      <c r="A7" s="31" t="s">
        <v>97</v>
      </c>
      <c r="B7" s="31" t="s">
        <v>98</v>
      </c>
      <c r="C7" s="31" t="s">
        <v>99</v>
      </c>
      <c r="D7" s="31" t="s">
        <v>100</v>
      </c>
      <c r="E7" s="31" t="s">
        <v>101</v>
      </c>
      <c r="F7" s="31">
        <v>164151</v>
      </c>
      <c r="G7" s="31">
        <v>4979</v>
      </c>
      <c r="H7" s="31" t="b">
        <v>1</v>
      </c>
      <c r="I7" s="31" t="b">
        <v>0</v>
      </c>
      <c r="J7" s="31" t="b">
        <v>1</v>
      </c>
      <c r="K7" s="31" t="b">
        <v>0</v>
      </c>
      <c r="L7" s="31"/>
      <c r="M7" s="31"/>
      <c r="N7" s="31"/>
      <c r="O7" s="31"/>
      <c r="P7" s="31"/>
      <c r="Q7" s="31"/>
      <c r="R7" s="31"/>
      <c r="S7" s="31" t="b">
        <v>1</v>
      </c>
      <c r="T7" s="31" t="b">
        <v>1</v>
      </c>
      <c r="U7" s="31" t="s">
        <v>100</v>
      </c>
      <c r="V7" s="31" t="b">
        <v>0</v>
      </c>
      <c r="W7" s="31" t="b">
        <v>0</v>
      </c>
      <c r="X7" s="31" t="b">
        <v>0</v>
      </c>
      <c r="Y7" s="31" t="b">
        <v>0</v>
      </c>
      <c r="Z7" s="31" t="b">
        <v>0</v>
      </c>
      <c r="AA7" s="31" t="b">
        <v>0</v>
      </c>
      <c r="AB7" s="31" t="s">
        <v>1</v>
      </c>
      <c r="AC7" s="31" t="s">
        <v>0</v>
      </c>
      <c r="AD7" s="31" t="s">
        <v>1</v>
      </c>
      <c r="AE7" s="31" t="s">
        <v>0</v>
      </c>
      <c r="AF7" s="31" t="b">
        <v>0</v>
      </c>
      <c r="AG7" s="31" t="b">
        <v>0</v>
      </c>
      <c r="AH7" s="31" t="b">
        <v>0</v>
      </c>
      <c r="AI7" s="31" t="b">
        <v>1</v>
      </c>
      <c r="AJ7" s="31" t="s">
        <v>102</v>
      </c>
      <c r="AK7" s="31" t="b">
        <v>0</v>
      </c>
      <c r="AL7" s="31" t="s">
        <v>1</v>
      </c>
      <c r="AM7" s="31" t="b">
        <v>1</v>
      </c>
      <c r="AN7" s="31" t="b">
        <v>0</v>
      </c>
      <c r="AO7" s="31" t="s">
        <v>1</v>
      </c>
      <c r="AP7" s="31" t="b">
        <v>1</v>
      </c>
      <c r="AQ7" s="31" t="b">
        <v>0</v>
      </c>
      <c r="AR7" s="31" t="b">
        <v>0</v>
      </c>
      <c r="AS7" s="31" t="b">
        <v>0</v>
      </c>
      <c r="AT7" s="31" t="s">
        <v>1</v>
      </c>
      <c r="AU7" s="31" t="b">
        <v>0</v>
      </c>
      <c r="AV7" s="31" t="s">
        <v>1</v>
      </c>
      <c r="AW7" s="31" t="s">
        <v>0</v>
      </c>
      <c r="AX7" s="31" t="s">
        <v>103</v>
      </c>
      <c r="AY7" s="31" t="s">
        <v>0</v>
      </c>
      <c r="AZ7" s="31"/>
      <c r="BA7" s="31"/>
      <c r="BB7" s="31"/>
      <c r="BC7" s="31"/>
      <c r="BD7" s="31"/>
      <c r="BE7" s="31"/>
      <c r="BF7" s="28" t="s">
        <v>104</v>
      </c>
      <c r="BG7" s="28" t="s">
        <v>105</v>
      </c>
    </row>
    <row r="8" spans="1:79" s="30" customFormat="1" ht="19.5" hidden="1" customHeight="1" thickTop="1" x14ac:dyDescent="0.2">
      <c r="A8" s="33" t="s">
        <v>18</v>
      </c>
      <c r="B8" s="33"/>
      <c r="C8" s="33" t="s">
        <v>9</v>
      </c>
      <c r="D8" s="33" t="s">
        <v>10</v>
      </c>
      <c r="E8" s="33"/>
      <c r="F8" s="33"/>
      <c r="G8" s="33"/>
      <c r="H8" s="27" t="s">
        <v>9</v>
      </c>
      <c r="I8" s="27" t="s">
        <v>10</v>
      </c>
      <c r="J8" s="27" t="s">
        <v>9</v>
      </c>
      <c r="K8" s="27" t="s">
        <v>10</v>
      </c>
      <c r="L8" s="35"/>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27"/>
      <c r="BG8" s="27"/>
    </row>
    <row r="9" spans="1:79" s="34" customFormat="1" ht="19.5" hidden="1" customHeight="1" thickBot="1" x14ac:dyDescent="0.25">
      <c r="A9" s="36" t="s">
        <v>107</v>
      </c>
      <c r="B9" s="36"/>
      <c r="C9" s="36"/>
      <c r="D9" s="36"/>
      <c r="E9" s="36"/>
      <c r="F9" s="36"/>
      <c r="G9" s="36"/>
      <c r="H9" s="36"/>
      <c r="I9" s="36"/>
      <c r="J9" s="36"/>
      <c r="K9" s="36"/>
      <c r="L9" s="37"/>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28"/>
      <c r="BG9" s="28">
        <v>5</v>
      </c>
    </row>
    <row r="10" spans="1:79" s="15" customFormat="1" ht="13.5" thickTop="1" x14ac:dyDescent="0.2">
      <c r="A10" s="13" t="s">
        <v>115</v>
      </c>
      <c r="B10" s="13" t="s">
        <v>116</v>
      </c>
      <c r="C10" s="13" t="s">
        <v>117</v>
      </c>
      <c r="D10" s="13" t="s">
        <v>118</v>
      </c>
      <c r="E10" s="13" t="s">
        <v>119</v>
      </c>
      <c r="F10" s="13" t="s">
        <v>120</v>
      </c>
      <c r="G10" s="13" t="s">
        <v>31</v>
      </c>
      <c r="H10" s="13" t="s">
        <v>322</v>
      </c>
      <c r="I10" s="13" t="s">
        <v>322</v>
      </c>
      <c r="J10" s="13" t="b">
        <v>1</v>
      </c>
      <c r="K10" s="13" t="s">
        <v>322</v>
      </c>
      <c r="L10" s="16">
        <v>40764</v>
      </c>
      <c r="M10" s="13">
        <v>221775</v>
      </c>
      <c r="N10" s="13" t="s">
        <v>121</v>
      </c>
      <c r="O10" s="13"/>
      <c r="P10" s="13"/>
      <c r="Q10" s="13"/>
      <c r="R10" s="13"/>
      <c r="S10" s="13" t="b">
        <v>0</v>
      </c>
      <c r="T10" s="13" t="s">
        <v>322</v>
      </c>
      <c r="U10" s="13" t="s">
        <v>1</v>
      </c>
      <c r="V10" s="13" t="s">
        <v>322</v>
      </c>
      <c r="W10" s="13" t="s">
        <v>323</v>
      </c>
      <c r="X10" s="13" t="s">
        <v>322</v>
      </c>
      <c r="Y10" s="13" t="s">
        <v>322</v>
      </c>
      <c r="Z10" s="13" t="s">
        <v>322</v>
      </c>
      <c r="AA10" s="13" t="s">
        <v>323</v>
      </c>
      <c r="AB10" s="13" t="s">
        <v>122</v>
      </c>
      <c r="AC10" s="13" t="s">
        <v>114</v>
      </c>
      <c r="AD10" s="13" t="s">
        <v>1</v>
      </c>
      <c r="AE10" s="13" t="s">
        <v>114</v>
      </c>
      <c r="AF10" s="13" t="s">
        <v>323</v>
      </c>
      <c r="AG10" s="13" t="s">
        <v>322</v>
      </c>
      <c r="AH10" s="13" t="s">
        <v>322</v>
      </c>
      <c r="AI10" s="13" t="s">
        <v>322</v>
      </c>
      <c r="AJ10" s="13" t="s">
        <v>1</v>
      </c>
      <c r="AK10" s="13" t="s">
        <v>322</v>
      </c>
      <c r="AL10" s="13" t="s">
        <v>1</v>
      </c>
      <c r="AM10" s="13" t="s">
        <v>323</v>
      </c>
      <c r="AN10" s="13" t="s">
        <v>323</v>
      </c>
      <c r="AO10" s="13" t="s">
        <v>123</v>
      </c>
      <c r="AP10" s="13" t="s">
        <v>322</v>
      </c>
      <c r="AQ10" s="13" t="s">
        <v>322</v>
      </c>
      <c r="AR10" s="13" t="s">
        <v>322</v>
      </c>
      <c r="AS10" s="13" t="s">
        <v>322</v>
      </c>
      <c r="AT10" s="13" t="s">
        <v>1</v>
      </c>
      <c r="AU10" s="13" t="s">
        <v>322</v>
      </c>
      <c r="AV10" s="13" t="s">
        <v>1</v>
      </c>
      <c r="AW10" s="13" t="s">
        <v>114</v>
      </c>
      <c r="AX10" s="13" t="s">
        <v>1</v>
      </c>
      <c r="AY10" s="13" t="s">
        <v>114</v>
      </c>
      <c r="AZ10" s="13"/>
      <c r="BA10" s="13"/>
      <c r="BB10" s="13"/>
      <c r="BC10" s="13"/>
      <c r="BD10" s="13"/>
      <c r="BE10" s="13"/>
      <c r="BF10" s="13" t="s">
        <v>124</v>
      </c>
      <c r="BG10" s="13" t="s">
        <v>113</v>
      </c>
      <c r="BH10" s="13"/>
      <c r="BI10" s="13"/>
      <c r="BJ10" s="13"/>
      <c r="BK10" s="13"/>
      <c r="BL10" s="13"/>
      <c r="BM10" s="13"/>
      <c r="BN10" s="13"/>
      <c r="BO10" s="13"/>
      <c r="BP10" s="13"/>
      <c r="BQ10" s="13"/>
      <c r="BR10" s="13"/>
      <c r="BS10" s="13"/>
      <c r="BT10" s="13"/>
      <c r="BU10" s="13"/>
      <c r="BV10" s="13"/>
      <c r="BW10" s="13"/>
      <c r="BX10" s="13"/>
      <c r="BY10" s="13"/>
      <c r="BZ10" s="13"/>
      <c r="CA10" s="14"/>
    </row>
    <row r="11" spans="1:79" s="15" customFormat="1" x14ac:dyDescent="0.2">
      <c r="A11" s="13" t="s">
        <v>97</v>
      </c>
      <c r="B11" s="13" t="s">
        <v>98</v>
      </c>
      <c r="C11" s="13" t="s">
        <v>99</v>
      </c>
      <c r="D11" s="13" t="s">
        <v>100</v>
      </c>
      <c r="E11" s="13" t="s">
        <v>101</v>
      </c>
      <c r="F11" s="13">
        <v>164151</v>
      </c>
      <c r="G11" s="13">
        <v>4979</v>
      </c>
      <c r="H11" s="13" t="s">
        <v>323</v>
      </c>
      <c r="I11" s="13" t="s">
        <v>322</v>
      </c>
      <c r="J11" s="13" t="b">
        <v>1</v>
      </c>
      <c r="K11" s="13" t="s">
        <v>322</v>
      </c>
      <c r="L11" s="13"/>
      <c r="M11" s="13"/>
      <c r="N11" s="13"/>
      <c r="O11" s="13"/>
      <c r="P11" s="13"/>
      <c r="Q11" s="13"/>
      <c r="R11" s="13"/>
      <c r="S11" s="13" t="b">
        <v>1</v>
      </c>
      <c r="T11" s="13" t="s">
        <v>323</v>
      </c>
      <c r="U11" s="13" t="s">
        <v>100</v>
      </c>
      <c r="V11" s="13" t="s">
        <v>322</v>
      </c>
      <c r="W11" s="13" t="s">
        <v>322</v>
      </c>
      <c r="X11" s="13" t="s">
        <v>322</v>
      </c>
      <c r="Y11" s="13" t="s">
        <v>322</v>
      </c>
      <c r="Z11" s="13" t="s">
        <v>322</v>
      </c>
      <c r="AA11" s="13" t="s">
        <v>322</v>
      </c>
      <c r="AB11" s="13" t="s">
        <v>1</v>
      </c>
      <c r="AC11" s="13" t="s">
        <v>114</v>
      </c>
      <c r="AD11" s="13" t="s">
        <v>1</v>
      </c>
      <c r="AE11" s="13" t="s">
        <v>114</v>
      </c>
      <c r="AF11" s="13" t="s">
        <v>322</v>
      </c>
      <c r="AG11" s="13" t="s">
        <v>322</v>
      </c>
      <c r="AH11" s="13" t="s">
        <v>322</v>
      </c>
      <c r="AI11" s="13" t="s">
        <v>323</v>
      </c>
      <c r="AJ11" s="13" t="s">
        <v>127</v>
      </c>
      <c r="AK11" s="13" t="s">
        <v>322</v>
      </c>
      <c r="AL11" s="13" t="s">
        <v>1</v>
      </c>
      <c r="AM11" s="13" t="s">
        <v>323</v>
      </c>
      <c r="AN11" s="13" t="s">
        <v>322</v>
      </c>
      <c r="AO11" s="13" t="s">
        <v>1</v>
      </c>
      <c r="AP11" s="13" t="s">
        <v>323</v>
      </c>
      <c r="AQ11" s="13" t="s">
        <v>322</v>
      </c>
      <c r="AR11" s="13" t="s">
        <v>322</v>
      </c>
      <c r="AS11" s="13" t="s">
        <v>322</v>
      </c>
      <c r="AT11" s="13" t="s">
        <v>1</v>
      </c>
      <c r="AU11" s="13" t="s">
        <v>322</v>
      </c>
      <c r="AV11" s="13" t="s">
        <v>1</v>
      </c>
      <c r="AW11" s="13" t="s">
        <v>114</v>
      </c>
      <c r="AX11" s="13" t="s">
        <v>103</v>
      </c>
      <c r="AY11" s="13" t="s">
        <v>114</v>
      </c>
      <c r="AZ11" s="13"/>
      <c r="BA11" s="13"/>
      <c r="BB11" s="13"/>
      <c r="BC11" s="13"/>
      <c r="BD11" s="13"/>
      <c r="BE11" s="13"/>
      <c r="BF11" s="13" t="s">
        <v>104</v>
      </c>
      <c r="BG11" s="13" t="s">
        <v>105</v>
      </c>
      <c r="BH11" s="13"/>
      <c r="BI11" s="13"/>
      <c r="BJ11" s="13"/>
      <c r="BK11" s="13"/>
      <c r="BL11" s="13"/>
      <c r="BM11" s="13"/>
      <c r="BN11" s="13"/>
      <c r="BO11" s="13"/>
      <c r="BP11" s="13"/>
      <c r="BQ11" s="13"/>
      <c r="BR11" s="13"/>
      <c r="BS11" s="13"/>
      <c r="BT11" s="13"/>
      <c r="BU11" s="13"/>
      <c r="BV11" s="13"/>
      <c r="BW11" s="13"/>
      <c r="BX11" s="13"/>
      <c r="BY11" s="13"/>
      <c r="BZ11" s="13"/>
      <c r="CA11" s="14"/>
    </row>
    <row r="12" spans="1:79" s="15" customFormat="1" x14ac:dyDescent="0.2">
      <c r="A12" s="13" t="s">
        <v>26</v>
      </c>
      <c r="B12" s="13" t="s">
        <v>27</v>
      </c>
      <c r="C12" s="13" t="s">
        <v>28</v>
      </c>
      <c r="D12" s="13" t="s">
        <v>29</v>
      </c>
      <c r="E12" s="13" t="s">
        <v>30</v>
      </c>
      <c r="F12" s="13">
        <v>331423</v>
      </c>
      <c r="G12" s="13" t="s">
        <v>31</v>
      </c>
      <c r="H12" s="13" t="s">
        <v>323</v>
      </c>
      <c r="I12" s="13" t="s">
        <v>322</v>
      </c>
      <c r="J12" s="13" t="b">
        <v>0</v>
      </c>
      <c r="K12" s="13" t="s">
        <v>323</v>
      </c>
      <c r="L12" s="16" t="s">
        <v>32</v>
      </c>
      <c r="M12" s="13">
        <v>331419</v>
      </c>
      <c r="N12" s="13">
        <v>1</v>
      </c>
      <c r="O12" s="13"/>
      <c r="P12" s="13"/>
      <c r="Q12" s="13"/>
      <c r="R12" s="13"/>
      <c r="S12" s="13" t="b">
        <v>0</v>
      </c>
      <c r="T12" s="13" t="s">
        <v>323</v>
      </c>
      <c r="U12" s="13" t="s">
        <v>33</v>
      </c>
      <c r="V12" s="13" t="s">
        <v>323</v>
      </c>
      <c r="W12" s="13" t="s">
        <v>322</v>
      </c>
      <c r="X12" s="13" t="s">
        <v>322</v>
      </c>
      <c r="Y12" s="13" t="s">
        <v>322</v>
      </c>
      <c r="Z12" s="13" t="s">
        <v>322</v>
      </c>
      <c r="AA12" s="13" t="s">
        <v>322</v>
      </c>
      <c r="AB12" s="13" t="s">
        <v>1</v>
      </c>
      <c r="AC12" s="13" t="s">
        <v>114</v>
      </c>
      <c r="AD12" s="13" t="s">
        <v>1</v>
      </c>
      <c r="AE12" s="13" t="s">
        <v>114</v>
      </c>
      <c r="AF12" s="13" t="s">
        <v>322</v>
      </c>
      <c r="AG12" s="13" t="s">
        <v>322</v>
      </c>
      <c r="AH12" s="13" t="s">
        <v>322</v>
      </c>
      <c r="AI12" s="13" t="s">
        <v>323</v>
      </c>
      <c r="AJ12" s="13" t="s">
        <v>34</v>
      </c>
      <c r="AK12" s="13" t="s">
        <v>322</v>
      </c>
      <c r="AL12" s="13" t="s">
        <v>1</v>
      </c>
      <c r="AM12" s="13" t="s">
        <v>322</v>
      </c>
      <c r="AN12" s="13" t="s">
        <v>322</v>
      </c>
      <c r="AO12" s="13" t="s">
        <v>1</v>
      </c>
      <c r="AP12" s="13" t="s">
        <v>322</v>
      </c>
      <c r="AQ12" s="13" t="s">
        <v>323</v>
      </c>
      <c r="AR12" s="13" t="s">
        <v>322</v>
      </c>
      <c r="AS12" s="13" t="s">
        <v>322</v>
      </c>
      <c r="AT12" s="13" t="s">
        <v>1</v>
      </c>
      <c r="AU12" s="13" t="s">
        <v>323</v>
      </c>
      <c r="AV12" s="13" t="s">
        <v>35</v>
      </c>
      <c r="AW12" s="13" t="s">
        <v>114</v>
      </c>
      <c r="AX12" s="13" t="s">
        <v>1</v>
      </c>
      <c r="AY12" s="13" t="s">
        <v>114</v>
      </c>
      <c r="AZ12" s="13"/>
      <c r="BA12" s="13"/>
      <c r="BB12" s="13"/>
      <c r="BC12" s="13"/>
      <c r="BD12" s="13"/>
      <c r="BE12" s="13"/>
      <c r="BF12" s="13" t="s">
        <v>36</v>
      </c>
      <c r="BG12" s="13" t="s">
        <v>113</v>
      </c>
      <c r="BH12" s="13"/>
      <c r="BI12" s="13"/>
      <c r="BJ12" s="13"/>
      <c r="BK12" s="13"/>
      <c r="BL12" s="13"/>
      <c r="BM12" s="13"/>
      <c r="BN12" s="13"/>
      <c r="BO12" s="13"/>
      <c r="BP12" s="13"/>
      <c r="BQ12" s="13"/>
      <c r="BR12" s="13"/>
      <c r="BS12" s="13"/>
      <c r="BT12" s="13"/>
      <c r="BU12" s="13"/>
      <c r="BV12" s="13"/>
      <c r="BW12" s="13"/>
      <c r="BX12" s="13"/>
      <c r="BY12" s="13"/>
      <c r="BZ12" s="13"/>
      <c r="CA12" s="14"/>
    </row>
    <row r="13" spans="1:79" s="15" customFormat="1" x14ac:dyDescent="0.2">
      <c r="A13" s="13" t="s">
        <v>171</v>
      </c>
      <c r="B13" s="13" t="s">
        <v>172</v>
      </c>
      <c r="C13" s="13" t="s">
        <v>173</v>
      </c>
      <c r="D13" s="13" t="s">
        <v>174</v>
      </c>
      <c r="E13" s="13" t="s">
        <v>175</v>
      </c>
      <c r="F13" s="13">
        <v>201417</v>
      </c>
      <c r="G13" s="13" t="s">
        <v>176</v>
      </c>
      <c r="H13" s="13" t="s">
        <v>322</v>
      </c>
      <c r="I13" s="13" t="s">
        <v>323</v>
      </c>
      <c r="J13" s="13" t="b">
        <v>1</v>
      </c>
      <c r="K13" s="13" t="s">
        <v>322</v>
      </c>
      <c r="L13" s="16">
        <v>40826</v>
      </c>
      <c r="M13" s="13">
        <v>201417</v>
      </c>
      <c r="N13" s="13">
        <v>7</v>
      </c>
      <c r="O13" s="13"/>
      <c r="P13" s="13"/>
      <c r="Q13" s="13"/>
      <c r="R13" s="13"/>
      <c r="S13" s="13" t="b">
        <v>0</v>
      </c>
      <c r="T13" s="13" t="s">
        <v>322</v>
      </c>
      <c r="U13" s="13" t="s">
        <v>1</v>
      </c>
      <c r="V13" s="13" t="s">
        <v>322</v>
      </c>
      <c r="W13" s="13" t="s">
        <v>323</v>
      </c>
      <c r="X13" s="13" t="s">
        <v>322</v>
      </c>
      <c r="Y13" s="13" t="s">
        <v>322</v>
      </c>
      <c r="Z13" s="13" t="s">
        <v>322</v>
      </c>
      <c r="AA13" s="13" t="s">
        <v>323</v>
      </c>
      <c r="AB13" s="13" t="s">
        <v>177</v>
      </c>
      <c r="AC13" s="13" t="s">
        <v>114</v>
      </c>
      <c r="AD13" s="13" t="s">
        <v>1</v>
      </c>
      <c r="AE13" s="13" t="s">
        <v>114</v>
      </c>
      <c r="AF13" s="13" t="s">
        <v>323</v>
      </c>
      <c r="AG13" s="13" t="s">
        <v>322</v>
      </c>
      <c r="AH13" s="13" t="s">
        <v>322</v>
      </c>
      <c r="AI13" s="13" t="s">
        <v>322</v>
      </c>
      <c r="AJ13" s="13" t="s">
        <v>1</v>
      </c>
      <c r="AK13" s="13" t="s">
        <v>322</v>
      </c>
      <c r="AL13" s="13" t="s">
        <v>1</v>
      </c>
      <c r="AM13" s="13" t="s">
        <v>323</v>
      </c>
      <c r="AN13" s="13" t="s">
        <v>322</v>
      </c>
      <c r="AO13" s="13" t="s">
        <v>1</v>
      </c>
      <c r="AP13" s="13" t="s">
        <v>323</v>
      </c>
      <c r="AQ13" s="13" t="s">
        <v>322</v>
      </c>
      <c r="AR13" s="13" t="s">
        <v>322</v>
      </c>
      <c r="AS13" s="13" t="s">
        <v>322</v>
      </c>
      <c r="AT13" s="13" t="s">
        <v>1</v>
      </c>
      <c r="AU13" s="13" t="s">
        <v>322</v>
      </c>
      <c r="AV13" s="13" t="s">
        <v>1</v>
      </c>
      <c r="AW13" s="13" t="s">
        <v>114</v>
      </c>
      <c r="AX13" s="13" t="s">
        <v>1</v>
      </c>
      <c r="AY13" s="13" t="s">
        <v>114</v>
      </c>
      <c r="AZ13" s="13"/>
      <c r="BA13" s="13"/>
      <c r="BB13" s="13"/>
      <c r="BC13" s="13"/>
      <c r="BD13" s="13"/>
      <c r="BE13" s="13"/>
      <c r="BF13" s="13" t="s">
        <v>178</v>
      </c>
      <c r="BG13" s="13" t="s">
        <v>113</v>
      </c>
      <c r="BH13" s="13"/>
      <c r="BI13" s="13"/>
      <c r="BJ13" s="13"/>
      <c r="BK13" s="13"/>
      <c r="BL13" s="13"/>
      <c r="BM13" s="13"/>
      <c r="BN13" s="13"/>
      <c r="BO13" s="13"/>
      <c r="BP13" s="13"/>
      <c r="BQ13" s="13"/>
      <c r="BR13" s="13"/>
      <c r="BS13" s="13"/>
      <c r="BT13" s="13"/>
      <c r="BU13" s="13"/>
      <c r="BV13" s="13"/>
      <c r="BW13" s="13"/>
      <c r="BX13" s="13"/>
      <c r="BY13" s="13"/>
      <c r="BZ13" s="13"/>
      <c r="CA13" s="14"/>
    </row>
    <row r="14" spans="1:79" s="15" customFormat="1" x14ac:dyDescent="0.2">
      <c r="A14" s="13" t="s">
        <v>193</v>
      </c>
      <c r="B14" s="13" t="s">
        <v>194</v>
      </c>
      <c r="C14" s="13" t="s">
        <v>195</v>
      </c>
      <c r="D14" s="13" t="s">
        <v>196</v>
      </c>
      <c r="E14" s="13" t="s">
        <v>197</v>
      </c>
      <c r="F14" s="13" t="s">
        <v>31</v>
      </c>
      <c r="G14" s="13" t="s">
        <v>31</v>
      </c>
      <c r="H14" s="13" t="s">
        <v>323</v>
      </c>
      <c r="I14" s="13" t="s">
        <v>322</v>
      </c>
      <c r="J14" s="13" t="b">
        <v>0</v>
      </c>
      <c r="K14" s="13" t="s">
        <v>323</v>
      </c>
      <c r="L14" s="16">
        <v>40580</v>
      </c>
      <c r="M14" s="13">
        <v>201739</v>
      </c>
      <c r="N14" s="13">
        <v>21</v>
      </c>
      <c r="O14" s="13"/>
      <c r="P14" s="13"/>
      <c r="Q14" s="13"/>
      <c r="R14" s="13"/>
      <c r="S14" s="13" t="b">
        <v>1</v>
      </c>
      <c r="T14" s="13" t="s">
        <v>323</v>
      </c>
      <c r="U14" s="13" t="s">
        <v>198</v>
      </c>
      <c r="V14" s="13" t="s">
        <v>322</v>
      </c>
      <c r="W14" s="13" t="s">
        <v>322</v>
      </c>
      <c r="X14" s="13" t="s">
        <v>322</v>
      </c>
      <c r="Y14" s="13" t="s">
        <v>322</v>
      </c>
      <c r="Z14" s="13" t="s">
        <v>322</v>
      </c>
      <c r="AA14" s="13" t="s">
        <v>322</v>
      </c>
      <c r="AB14" s="13" t="s">
        <v>1</v>
      </c>
      <c r="AC14" s="13" t="s">
        <v>114</v>
      </c>
      <c r="AD14" s="13" t="s">
        <v>1</v>
      </c>
      <c r="AE14" s="13" t="s">
        <v>114</v>
      </c>
      <c r="AF14" s="13" t="s">
        <v>322</v>
      </c>
      <c r="AG14" s="13" t="s">
        <v>322</v>
      </c>
      <c r="AH14" s="13" t="s">
        <v>323</v>
      </c>
      <c r="AI14" s="13" t="s">
        <v>322</v>
      </c>
      <c r="AJ14" s="13" t="s">
        <v>1</v>
      </c>
      <c r="AK14" s="13" t="s">
        <v>322</v>
      </c>
      <c r="AL14" s="13" t="s">
        <v>1</v>
      </c>
      <c r="AM14" s="13" t="s">
        <v>322</v>
      </c>
      <c r="AN14" s="13" t="s">
        <v>322</v>
      </c>
      <c r="AO14" s="13" t="s">
        <v>1</v>
      </c>
      <c r="AP14" s="13" t="s">
        <v>322</v>
      </c>
      <c r="AQ14" s="13" t="s">
        <v>323</v>
      </c>
      <c r="AR14" s="13" t="s">
        <v>323</v>
      </c>
      <c r="AS14" s="13" t="s">
        <v>322</v>
      </c>
      <c r="AT14" s="13" t="s">
        <v>1</v>
      </c>
      <c r="AU14" s="13" t="s">
        <v>322</v>
      </c>
      <c r="AV14" s="13" t="s">
        <v>1</v>
      </c>
      <c r="AW14" s="13" t="s">
        <v>114</v>
      </c>
      <c r="AX14" s="13" t="s">
        <v>1</v>
      </c>
      <c r="AY14" s="13" t="s">
        <v>114</v>
      </c>
      <c r="AZ14" s="13"/>
      <c r="BA14" s="13"/>
      <c r="BB14" s="13"/>
      <c r="BC14" s="13"/>
      <c r="BD14" s="13"/>
      <c r="BE14" s="13"/>
      <c r="BF14" s="13" t="s">
        <v>199</v>
      </c>
      <c r="BG14" s="13" t="s">
        <v>113</v>
      </c>
      <c r="BH14" s="13"/>
      <c r="BI14" s="13"/>
      <c r="BJ14" s="13"/>
      <c r="BK14" s="13"/>
      <c r="BL14" s="13"/>
      <c r="BM14" s="13"/>
      <c r="BN14" s="13"/>
      <c r="BO14" s="13"/>
      <c r="BP14" s="13"/>
      <c r="BQ14" s="14"/>
    </row>
    <row r="15" spans="1:79" x14ac:dyDescent="0.2">
      <c r="A15" s="7" t="s">
        <v>315</v>
      </c>
      <c r="B15" s="7" t="s">
        <v>316</v>
      </c>
      <c r="C15" s="7" t="s">
        <v>317</v>
      </c>
      <c r="D15" s="7" t="s">
        <v>318</v>
      </c>
      <c r="E15" s="7" t="s">
        <v>319</v>
      </c>
      <c r="F15" s="7" t="s">
        <v>31</v>
      </c>
      <c r="G15" s="7" t="s">
        <v>31</v>
      </c>
      <c r="H15" s="7" t="s">
        <v>322</v>
      </c>
      <c r="I15" s="7" t="s">
        <v>323</v>
      </c>
      <c r="J15" s="7" t="b">
        <v>0</v>
      </c>
      <c r="K15" s="7" t="s">
        <v>323</v>
      </c>
      <c r="S15" s="7" t="b">
        <v>0</v>
      </c>
      <c r="T15" s="7" t="s">
        <v>322</v>
      </c>
      <c r="U15" s="7" t="s">
        <v>1</v>
      </c>
      <c r="V15" s="7" t="s">
        <v>322</v>
      </c>
      <c r="W15" s="7" t="s">
        <v>323</v>
      </c>
      <c r="X15" s="7" t="s">
        <v>322</v>
      </c>
      <c r="Y15" s="7" t="s">
        <v>322</v>
      </c>
      <c r="Z15" s="7" t="s">
        <v>323</v>
      </c>
      <c r="AA15" s="7" t="s">
        <v>323</v>
      </c>
      <c r="AB15" s="7" t="s">
        <v>320</v>
      </c>
      <c r="AC15" s="7" t="s">
        <v>114</v>
      </c>
      <c r="AD15" s="7" t="s">
        <v>1</v>
      </c>
      <c r="AE15" s="7" t="s">
        <v>114</v>
      </c>
      <c r="AF15" s="7" t="s">
        <v>323</v>
      </c>
      <c r="AG15" s="7" t="s">
        <v>322</v>
      </c>
      <c r="AH15" s="7" t="s">
        <v>322</v>
      </c>
      <c r="AI15" s="7" t="s">
        <v>322</v>
      </c>
      <c r="AJ15" s="7" t="s">
        <v>1</v>
      </c>
      <c r="AK15" s="7" t="s">
        <v>322</v>
      </c>
      <c r="AL15" s="7" t="s">
        <v>1</v>
      </c>
      <c r="AM15" s="7" t="s">
        <v>322</v>
      </c>
      <c r="AN15" s="7" t="s">
        <v>322</v>
      </c>
      <c r="AO15" s="7" t="s">
        <v>1</v>
      </c>
      <c r="AP15" s="7" t="s">
        <v>322</v>
      </c>
      <c r="AQ15" s="7" t="s">
        <v>323</v>
      </c>
      <c r="AR15" s="7" t="s">
        <v>323</v>
      </c>
      <c r="AS15" s="7" t="s">
        <v>322</v>
      </c>
      <c r="AT15" s="7" t="s">
        <v>1</v>
      </c>
      <c r="AU15" s="7" t="s">
        <v>322</v>
      </c>
      <c r="AV15" s="7" t="s">
        <v>1</v>
      </c>
      <c r="AW15" s="7" t="s">
        <v>114</v>
      </c>
      <c r="AX15" s="7" t="s">
        <v>1</v>
      </c>
      <c r="AY15" s="7" t="s">
        <v>114</v>
      </c>
      <c r="BF15" s="7" t="s">
        <v>321</v>
      </c>
      <c r="BG15" s="7" t="s">
        <v>105</v>
      </c>
      <c r="BH15" s="7"/>
      <c r="BI15" s="7"/>
      <c r="BJ15" s="7"/>
      <c r="BK15" s="7"/>
      <c r="BL15" s="7"/>
      <c r="BM15" s="7"/>
      <c r="BN15" s="7"/>
      <c r="BO15" s="7"/>
      <c r="BP15" s="7"/>
      <c r="BQ15" s="10"/>
    </row>
    <row r="16" spans="1:79" x14ac:dyDescent="0.2">
      <c r="A16" s="7" t="s">
        <v>324</v>
      </c>
      <c r="B16" s="7" t="s">
        <v>325</v>
      </c>
      <c r="C16" s="7" t="s">
        <v>326</v>
      </c>
      <c r="D16" s="7" t="s">
        <v>327</v>
      </c>
      <c r="E16" s="7" t="s">
        <v>328</v>
      </c>
      <c r="F16" s="7">
        <v>280115</v>
      </c>
      <c r="G16" s="7">
        <v>2647</v>
      </c>
      <c r="H16" s="7" t="s">
        <v>323</v>
      </c>
      <c r="I16" s="7" t="s">
        <v>322</v>
      </c>
      <c r="J16" s="7" t="b">
        <v>1</v>
      </c>
      <c r="K16" s="7" t="s">
        <v>322</v>
      </c>
      <c r="L16" s="7" t="s">
        <v>329</v>
      </c>
      <c r="M16" s="7">
        <v>201431</v>
      </c>
      <c r="N16" s="7">
        <v>6</v>
      </c>
      <c r="S16" s="7" t="b">
        <v>1</v>
      </c>
      <c r="T16" s="7" t="s">
        <v>323</v>
      </c>
      <c r="U16" s="7" t="s">
        <v>327</v>
      </c>
      <c r="V16" s="7" t="s">
        <v>323</v>
      </c>
      <c r="W16" s="7" t="s">
        <v>322</v>
      </c>
      <c r="X16" s="7" t="s">
        <v>322</v>
      </c>
      <c r="Y16" s="7" t="s">
        <v>322</v>
      </c>
      <c r="Z16" s="7" t="s">
        <v>322</v>
      </c>
      <c r="AA16" s="7" t="s">
        <v>322</v>
      </c>
      <c r="AB16" s="7" t="s">
        <v>1</v>
      </c>
      <c r="AC16" s="7" t="s">
        <v>114</v>
      </c>
      <c r="AD16" s="7" t="s">
        <v>1</v>
      </c>
      <c r="AE16" s="7" t="s">
        <v>114</v>
      </c>
      <c r="AF16" s="7" t="s">
        <v>322</v>
      </c>
      <c r="AG16" s="7" t="s">
        <v>322</v>
      </c>
      <c r="AH16" s="7" t="s">
        <v>322</v>
      </c>
      <c r="AI16" s="7" t="s">
        <v>323</v>
      </c>
      <c r="AJ16" s="7" t="s">
        <v>330</v>
      </c>
      <c r="AK16" s="7" t="s">
        <v>322</v>
      </c>
      <c r="AL16" s="7" t="s">
        <v>1</v>
      </c>
      <c r="AM16" s="7" t="s">
        <v>323</v>
      </c>
      <c r="AN16" s="7" t="s">
        <v>323</v>
      </c>
      <c r="AO16" s="7" t="s">
        <v>327</v>
      </c>
      <c r="AP16" s="7" t="s">
        <v>323</v>
      </c>
      <c r="AQ16" s="7" t="s">
        <v>322</v>
      </c>
      <c r="AR16" s="7" t="s">
        <v>322</v>
      </c>
      <c r="AS16" s="7" t="s">
        <v>322</v>
      </c>
      <c r="AT16" s="7" t="s">
        <v>1</v>
      </c>
      <c r="AU16" s="7" t="s">
        <v>322</v>
      </c>
      <c r="AV16" s="7" t="s">
        <v>1</v>
      </c>
      <c r="AW16" s="7" t="s">
        <v>114</v>
      </c>
      <c r="AX16" s="7" t="s">
        <v>1</v>
      </c>
      <c r="AY16" s="7" t="s">
        <v>114</v>
      </c>
      <c r="BF16" s="7" t="s">
        <v>331</v>
      </c>
      <c r="BG16" s="7" t="s">
        <v>113</v>
      </c>
      <c r="BH16" s="7"/>
      <c r="BI16" s="7"/>
      <c r="BJ16" s="7"/>
      <c r="BK16" s="7"/>
      <c r="BL16" s="7"/>
      <c r="BM16" s="7"/>
      <c r="BN16" s="7"/>
      <c r="BO16" s="7"/>
      <c r="BP16" s="7"/>
      <c r="BQ16" s="10"/>
    </row>
    <row r="17" spans="1:112" x14ac:dyDescent="0.2">
      <c r="A17" s="9" t="s">
        <v>335</v>
      </c>
      <c r="B17" s="9" t="s">
        <v>334</v>
      </c>
      <c r="C17" s="9"/>
      <c r="D17" s="9"/>
      <c r="E17" s="9"/>
      <c r="F17" s="9"/>
      <c r="G17" s="9"/>
      <c r="H17" s="7" t="s">
        <v>322</v>
      </c>
      <c r="I17" s="7" t="s">
        <v>323</v>
      </c>
      <c r="J17" s="7" t="b">
        <v>1</v>
      </c>
      <c r="K17" s="7" t="s">
        <v>322</v>
      </c>
      <c r="M17" s="7">
        <v>436315</v>
      </c>
      <c r="N17" s="7">
        <v>0</v>
      </c>
      <c r="AC17" s="7" t="s">
        <v>114</v>
      </c>
      <c r="AE17" s="7" t="s">
        <v>114</v>
      </c>
      <c r="AW17" s="7" t="s">
        <v>114</v>
      </c>
      <c r="AY17" s="7" t="s">
        <v>114</v>
      </c>
      <c r="BF17" s="7" t="s">
        <v>332</v>
      </c>
      <c r="BG17" s="7" t="s">
        <v>333</v>
      </c>
      <c r="BH17" s="7"/>
      <c r="BI17" s="7"/>
      <c r="BJ17" s="7"/>
      <c r="BK17" s="7"/>
      <c r="BL17" s="7"/>
      <c r="BM17" s="7"/>
      <c r="BN17" s="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10"/>
    </row>
    <row r="18" spans="1:112" x14ac:dyDescent="0.2">
      <c r="A18" s="7" t="s">
        <v>356</v>
      </c>
      <c r="B18" s="7" t="s">
        <v>357</v>
      </c>
      <c r="C18" s="7" t="s">
        <v>358</v>
      </c>
      <c r="D18" s="7" t="s">
        <v>359</v>
      </c>
      <c r="E18" s="7" t="s">
        <v>360</v>
      </c>
      <c r="F18" s="7" t="s">
        <v>323</v>
      </c>
      <c r="G18" s="7" t="s">
        <v>322</v>
      </c>
      <c r="H18" s="7" t="s">
        <v>322</v>
      </c>
      <c r="I18" s="7" t="s">
        <v>323</v>
      </c>
      <c r="M18" s="7" t="s">
        <v>323</v>
      </c>
      <c r="N18" s="7" t="s">
        <v>323</v>
      </c>
      <c r="S18" s="7" t="s">
        <v>361</v>
      </c>
      <c r="T18" s="7" t="s">
        <v>322</v>
      </c>
      <c r="U18" s="7" t="s">
        <v>322</v>
      </c>
      <c r="V18" s="7" t="s">
        <v>322</v>
      </c>
      <c r="W18" s="7" t="s">
        <v>322</v>
      </c>
      <c r="X18" s="7" t="s">
        <v>322</v>
      </c>
      <c r="Y18" s="7" t="s">
        <v>322</v>
      </c>
      <c r="Z18" s="7" t="s">
        <v>1</v>
      </c>
      <c r="AA18" s="7" t="s">
        <v>0</v>
      </c>
      <c r="AB18" s="7" t="s">
        <v>1</v>
      </c>
      <c r="AC18" s="7" t="s">
        <v>114</v>
      </c>
      <c r="AD18" s="7" t="s">
        <v>322</v>
      </c>
      <c r="AE18" s="7" t="s">
        <v>322</v>
      </c>
      <c r="AF18" s="7" t="s">
        <v>323</v>
      </c>
      <c r="AG18" s="7" t="s">
        <v>322</v>
      </c>
      <c r="AH18" s="7" t="s">
        <v>1</v>
      </c>
      <c r="AI18" s="7" t="s">
        <v>322</v>
      </c>
      <c r="AJ18" s="7" t="s">
        <v>1</v>
      </c>
      <c r="AK18" s="7" t="s">
        <v>322</v>
      </c>
      <c r="AL18" s="7" t="s">
        <v>322</v>
      </c>
      <c r="AM18" s="7" t="s">
        <v>1</v>
      </c>
      <c r="AN18" s="7" t="s">
        <v>322</v>
      </c>
      <c r="AO18" s="7" t="s">
        <v>323</v>
      </c>
      <c r="AP18" s="7" t="s">
        <v>323</v>
      </c>
      <c r="AQ18" s="7" t="s">
        <v>322</v>
      </c>
      <c r="AR18" s="7" t="s">
        <v>1</v>
      </c>
      <c r="AS18" s="7" t="s">
        <v>322</v>
      </c>
      <c r="AT18" s="7" t="s">
        <v>1</v>
      </c>
      <c r="AU18" s="7" t="s">
        <v>0</v>
      </c>
      <c r="AV18" s="7" t="s">
        <v>1</v>
      </c>
      <c r="AW18" s="7" t="s">
        <v>114</v>
      </c>
      <c r="AX18" s="7" t="s">
        <v>362</v>
      </c>
      <c r="AY18" s="7" t="s">
        <v>105</v>
      </c>
      <c r="BG18" s="7"/>
      <c r="BH18" s="7"/>
      <c r="BI18" s="7"/>
      <c r="BJ18" s="7"/>
      <c r="BK18" s="7"/>
      <c r="BL18" s="7"/>
      <c r="BM18" s="7"/>
      <c r="BN18" s="7"/>
      <c r="BO18" s="7"/>
      <c r="BP18" s="7"/>
      <c r="BQ18" s="10"/>
    </row>
  </sheetData>
  <dataConsolidate/>
  <conditionalFormatting sqref="A10:BY13 A14:BO16 H17:DF17 A18:BO18 A19:BE47">
    <cfRule type="cellIs" dxfId="1" priority="1" operator="equal">
      <formula>""</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G60"/>
  <sheetViews>
    <sheetView zoomScaleNormal="100" workbookViewId="0">
      <pane ySplit="2" topLeftCell="A30" activePane="bottomLeft" state="frozen"/>
      <selection pane="bottomLeft" activeCell="B3" sqref="B3"/>
    </sheetView>
  </sheetViews>
  <sheetFormatPr defaultColWidth="50" defaultRowHeight="12.75" x14ac:dyDescent="0.2"/>
  <cols>
    <col min="2" max="2" width="106" style="17" bestFit="1" customWidth="1"/>
  </cols>
  <sheetData>
    <row r="1" spans="1:2" ht="13.5" thickBot="1" x14ac:dyDescent="0.25">
      <c r="A1" s="1" t="s">
        <v>4</v>
      </c>
      <c r="B1" s="13" t="s">
        <v>128</v>
      </c>
    </row>
    <row r="2" spans="1:2" ht="14.25" thickTop="1" thickBot="1" x14ac:dyDescent="0.25">
      <c r="A2" s="11" t="s">
        <v>125</v>
      </c>
      <c r="B2" s="13" t="s">
        <v>129</v>
      </c>
    </row>
    <row r="3" spans="1:2" ht="14.25" thickTop="1" thickBot="1" x14ac:dyDescent="0.25">
      <c r="A3" s="3" t="s">
        <v>37</v>
      </c>
      <c r="B3" s="13" t="s">
        <v>135</v>
      </c>
    </row>
    <row r="4" spans="1:2" ht="14.25" thickTop="1" thickBot="1" x14ac:dyDescent="0.25">
      <c r="A4" s="1" t="s">
        <v>38</v>
      </c>
      <c r="B4" s="13" t="s">
        <v>7</v>
      </c>
    </row>
    <row r="5" spans="1:2" ht="14.25" thickTop="1" thickBot="1" x14ac:dyDescent="0.25">
      <c r="A5" s="1" t="s">
        <v>39</v>
      </c>
      <c r="B5" s="13" t="s">
        <v>130</v>
      </c>
    </row>
    <row r="6" spans="1:2" ht="14.25" thickTop="1" thickBot="1" x14ac:dyDescent="0.25">
      <c r="A6" s="1" t="s">
        <v>40</v>
      </c>
      <c r="B6" s="13" t="s">
        <v>31</v>
      </c>
    </row>
    <row r="7" spans="1:2" ht="14.25" thickTop="1" thickBot="1" x14ac:dyDescent="0.25">
      <c r="A7" s="1" t="s">
        <v>41</v>
      </c>
      <c r="B7" s="13" t="s">
        <v>131</v>
      </c>
    </row>
    <row r="8" spans="1:2" ht="14.25" thickTop="1" thickBot="1" x14ac:dyDescent="0.25">
      <c r="A8" s="1" t="s">
        <v>42</v>
      </c>
      <c r="B8" s="13" t="b">
        <v>0</v>
      </c>
    </row>
    <row r="9" spans="1:2" ht="14.25" thickTop="1" thickBot="1" x14ac:dyDescent="0.25">
      <c r="A9" s="1" t="s">
        <v>43</v>
      </c>
      <c r="B9" s="13" t="b">
        <v>1</v>
      </c>
    </row>
    <row r="10" spans="1:2" ht="14.25" thickTop="1" thickBot="1" x14ac:dyDescent="0.25">
      <c r="A10" s="1" t="s">
        <v>44</v>
      </c>
      <c r="B10" s="13" t="b">
        <v>1</v>
      </c>
    </row>
    <row r="11" spans="1:2" ht="14.25" thickTop="1" thickBot="1" x14ac:dyDescent="0.25">
      <c r="A11" s="1" t="s">
        <v>126</v>
      </c>
      <c r="B11" s="13" t="b">
        <v>0</v>
      </c>
    </row>
    <row r="12" spans="1:2" ht="14.25" thickTop="1" thickBot="1" x14ac:dyDescent="0.25">
      <c r="A12" s="2" t="s">
        <v>45</v>
      </c>
      <c r="B12" s="16" t="s">
        <v>132</v>
      </c>
    </row>
    <row r="13" spans="1:2" ht="14.25" thickTop="1" thickBot="1" x14ac:dyDescent="0.25">
      <c r="A13" s="2" t="s">
        <v>3</v>
      </c>
      <c r="B13" s="13">
        <v>202696</v>
      </c>
    </row>
    <row r="14" spans="1:2" ht="14.25" thickTop="1" thickBot="1" x14ac:dyDescent="0.25">
      <c r="A14" s="2" t="s">
        <v>2</v>
      </c>
      <c r="B14" s="13">
        <v>7</v>
      </c>
    </row>
    <row r="15" spans="1:2" ht="14.25" thickTop="1" thickBot="1" x14ac:dyDescent="0.25">
      <c r="A15" s="3" t="s">
        <v>46</v>
      </c>
      <c r="B15" s="13"/>
    </row>
    <row r="16" spans="1:2" ht="14.25" thickTop="1" thickBot="1" x14ac:dyDescent="0.25">
      <c r="A16" s="3" t="s">
        <v>47</v>
      </c>
      <c r="B16" s="13"/>
    </row>
    <row r="17" spans="1:2" ht="14.25" thickTop="1" thickBot="1" x14ac:dyDescent="0.25">
      <c r="A17" s="3" t="s">
        <v>48</v>
      </c>
      <c r="B17" s="13"/>
    </row>
    <row r="18" spans="1:2" ht="14.25" thickTop="1" thickBot="1" x14ac:dyDescent="0.25">
      <c r="A18" s="3" t="s">
        <v>49</v>
      </c>
      <c r="B18" s="13"/>
    </row>
    <row r="19" spans="1:2" ht="14.25" thickTop="1" thickBot="1" x14ac:dyDescent="0.25">
      <c r="A19" s="4" t="s">
        <v>50</v>
      </c>
      <c r="B19" s="13" t="b">
        <v>0</v>
      </c>
    </row>
    <row r="20" spans="1:2" ht="14.25" thickTop="1" thickBot="1" x14ac:dyDescent="0.25">
      <c r="A20" s="4" t="s">
        <v>51</v>
      </c>
      <c r="B20" s="13" t="b">
        <v>0</v>
      </c>
    </row>
    <row r="21" spans="1:2" ht="14.25" thickTop="1" thickBot="1" x14ac:dyDescent="0.25">
      <c r="A21" s="4" t="s">
        <v>58</v>
      </c>
      <c r="B21" s="13" t="s">
        <v>1</v>
      </c>
    </row>
    <row r="22" spans="1:2" ht="14.25" thickTop="1" thickBot="1" x14ac:dyDescent="0.25">
      <c r="A22" s="4" t="s">
        <v>52</v>
      </c>
      <c r="B22" s="13" t="b">
        <v>0</v>
      </c>
    </row>
    <row r="23" spans="1:2" ht="14.25" thickTop="1" thickBot="1" x14ac:dyDescent="0.25">
      <c r="A23" s="4" t="s">
        <v>53</v>
      </c>
      <c r="B23" s="13" t="b">
        <v>1</v>
      </c>
    </row>
    <row r="24" spans="1:2" ht="14.25" thickTop="1" thickBot="1" x14ac:dyDescent="0.25">
      <c r="A24" s="4" t="s">
        <v>54</v>
      </c>
      <c r="B24" s="13" t="b">
        <v>1</v>
      </c>
    </row>
    <row r="25" spans="1:2" ht="14.25" thickTop="1" thickBot="1" x14ac:dyDescent="0.25">
      <c r="A25" s="4" t="s">
        <v>55</v>
      </c>
      <c r="B25" s="13" t="b">
        <v>0</v>
      </c>
    </row>
    <row r="26" spans="1:2" ht="14.25" thickTop="1" thickBot="1" x14ac:dyDescent="0.25">
      <c r="A26" s="4" t="s">
        <v>56</v>
      </c>
      <c r="B26" s="13" t="b">
        <v>0</v>
      </c>
    </row>
    <row r="27" spans="1:2" ht="14.25" thickTop="1" thickBot="1" x14ac:dyDescent="0.25">
      <c r="A27" s="4" t="s">
        <v>57</v>
      </c>
      <c r="B27" s="13" t="b">
        <v>1</v>
      </c>
    </row>
    <row r="28" spans="1:2" ht="14.25" thickTop="1" thickBot="1" x14ac:dyDescent="0.25">
      <c r="A28" s="4" t="s">
        <v>60</v>
      </c>
      <c r="B28" s="13" t="s">
        <v>133</v>
      </c>
    </row>
    <row r="29" spans="1:2" ht="14.25" thickTop="1" thickBot="1" x14ac:dyDescent="0.25">
      <c r="A29" s="4" t="s">
        <v>6</v>
      </c>
      <c r="B29" s="13" t="s">
        <v>114</v>
      </c>
    </row>
    <row r="30" spans="1:2" ht="14.25" thickTop="1" thickBot="1" x14ac:dyDescent="0.25">
      <c r="A30" s="4" t="s">
        <v>59</v>
      </c>
      <c r="B30" s="13" t="s">
        <v>1</v>
      </c>
    </row>
    <row r="31" spans="1:2" ht="14.25" thickTop="1" thickBot="1" x14ac:dyDescent="0.25">
      <c r="A31" s="4" t="s">
        <v>61</v>
      </c>
      <c r="B31" s="13" t="s">
        <v>114</v>
      </c>
    </row>
    <row r="32" spans="1:2" ht="27" thickTop="1" thickBot="1" x14ac:dyDescent="0.25">
      <c r="A32" s="4" t="s">
        <v>62</v>
      </c>
      <c r="B32" s="13" t="b">
        <v>1</v>
      </c>
    </row>
    <row r="33" spans="1:2" ht="27" thickTop="1" thickBot="1" x14ac:dyDescent="0.25">
      <c r="A33" s="4" t="s">
        <v>63</v>
      </c>
      <c r="B33" s="13" t="b">
        <v>0</v>
      </c>
    </row>
    <row r="34" spans="1:2" ht="27" thickTop="1" thickBot="1" x14ac:dyDescent="0.25">
      <c r="A34" s="4" t="s">
        <v>64</v>
      </c>
      <c r="B34" s="13" t="b">
        <v>0</v>
      </c>
    </row>
    <row r="35" spans="1:2" ht="14.25" thickTop="1" thickBot="1" x14ac:dyDescent="0.25">
      <c r="A35" s="4" t="s">
        <v>65</v>
      </c>
      <c r="B35" s="13" t="b">
        <v>0</v>
      </c>
    </row>
    <row r="36" spans="1:2" ht="27" thickTop="1" thickBot="1" x14ac:dyDescent="0.25">
      <c r="A36" s="4" t="s">
        <v>66</v>
      </c>
      <c r="B36" s="13" t="s">
        <v>1</v>
      </c>
    </row>
    <row r="37" spans="1:2" ht="14.25" thickTop="1" thickBot="1" x14ac:dyDescent="0.25">
      <c r="A37" s="4" t="s">
        <v>68</v>
      </c>
      <c r="B37" s="13" t="b">
        <v>0</v>
      </c>
    </row>
    <row r="38" spans="1:2" ht="27" thickTop="1" thickBot="1" x14ac:dyDescent="0.25">
      <c r="A38" s="4" t="s">
        <v>67</v>
      </c>
      <c r="B38" s="13" t="s">
        <v>1</v>
      </c>
    </row>
    <row r="39" spans="1:2" ht="14.25" thickTop="1" thickBot="1" x14ac:dyDescent="0.25">
      <c r="A39" s="4" t="s">
        <v>69</v>
      </c>
      <c r="B39" s="13" t="b">
        <v>1</v>
      </c>
    </row>
    <row r="40" spans="1:2" ht="14.25" thickTop="1" thickBot="1" x14ac:dyDescent="0.25">
      <c r="A40" s="4" t="s">
        <v>70</v>
      </c>
      <c r="B40" s="13" t="b">
        <v>0</v>
      </c>
    </row>
    <row r="41" spans="1:2" ht="14.25" thickTop="1" thickBot="1" x14ac:dyDescent="0.25">
      <c r="A41" s="4" t="s">
        <v>72</v>
      </c>
      <c r="B41" s="13" t="s">
        <v>1</v>
      </c>
    </row>
    <row r="42" spans="1:2" ht="14.25" thickTop="1" thickBot="1" x14ac:dyDescent="0.25">
      <c r="A42" s="4" t="s">
        <v>71</v>
      </c>
      <c r="B42" s="13" t="b">
        <v>1</v>
      </c>
    </row>
    <row r="43" spans="1:2" ht="14.25" thickTop="1" thickBot="1" x14ac:dyDescent="0.25">
      <c r="A43" s="4" t="s">
        <v>73</v>
      </c>
      <c r="B43" s="13" t="b">
        <v>0</v>
      </c>
    </row>
    <row r="44" spans="1:2" ht="27" thickTop="1" thickBot="1" x14ac:dyDescent="0.25">
      <c r="A44" s="4" t="s">
        <v>74</v>
      </c>
      <c r="B44" s="13" t="b">
        <v>0</v>
      </c>
    </row>
    <row r="45" spans="1:2" ht="14.25" thickTop="1" thickBot="1" x14ac:dyDescent="0.25">
      <c r="A45" s="4" t="s">
        <v>75</v>
      </c>
      <c r="B45" s="13" t="b">
        <v>0</v>
      </c>
    </row>
    <row r="46" spans="1:2" ht="27" thickTop="1" thickBot="1" x14ac:dyDescent="0.25">
      <c r="A46" s="4" t="s">
        <v>76</v>
      </c>
      <c r="B46" s="13" t="s">
        <v>1</v>
      </c>
    </row>
    <row r="47" spans="1:2" ht="14.25" thickTop="1" thickBot="1" x14ac:dyDescent="0.25">
      <c r="A47" s="4" t="s">
        <v>77</v>
      </c>
      <c r="B47" s="13" t="b">
        <v>1</v>
      </c>
    </row>
    <row r="48" spans="1:2" ht="14.25" thickTop="1" thickBot="1" x14ac:dyDescent="0.25">
      <c r="A48" s="4" t="s">
        <v>78</v>
      </c>
      <c r="B48" s="13" t="s">
        <v>0</v>
      </c>
    </row>
    <row r="49" spans="1:59" ht="14.25" thickTop="1" thickBot="1" x14ac:dyDescent="0.25">
      <c r="A49" s="4" t="s">
        <v>5</v>
      </c>
      <c r="B49" s="13" t="s">
        <v>1</v>
      </c>
    </row>
    <row r="50" spans="1:59" ht="14.25" thickTop="1" thickBot="1" x14ac:dyDescent="0.25">
      <c r="A50" s="4" t="s">
        <v>79</v>
      </c>
      <c r="B50" s="13" t="s">
        <v>0</v>
      </c>
    </row>
    <row r="51" spans="1:59" ht="14.25" thickTop="1" thickBot="1" x14ac:dyDescent="0.25">
      <c r="A51" s="4" t="s">
        <v>80</v>
      </c>
      <c r="B51" s="13" t="s">
        <v>134</v>
      </c>
    </row>
    <row r="52" spans="1:59" ht="14.25" thickTop="1" thickBot="1" x14ac:dyDescent="0.25">
      <c r="A52" s="6" t="s">
        <v>81</v>
      </c>
      <c r="B52" s="13"/>
    </row>
    <row r="53" spans="1:59" ht="27" thickTop="1" thickBot="1" x14ac:dyDescent="0.25">
      <c r="A53" s="6" t="s">
        <v>82</v>
      </c>
      <c r="B53" s="13"/>
    </row>
    <row r="54" spans="1:59" ht="14.25" thickTop="1" thickBot="1" x14ac:dyDescent="0.25">
      <c r="A54" s="6" t="s">
        <v>83</v>
      </c>
      <c r="B54" s="13"/>
    </row>
    <row r="55" spans="1:59" ht="27" thickTop="1" thickBot="1" x14ac:dyDescent="0.25">
      <c r="A55" s="6" t="s">
        <v>84</v>
      </c>
      <c r="B55" s="13"/>
    </row>
    <row r="56" spans="1:59" ht="14.25" thickTop="1" thickBot="1" x14ac:dyDescent="0.25">
      <c r="A56" s="6" t="s">
        <v>85</v>
      </c>
      <c r="B56" s="13"/>
    </row>
    <row r="57" spans="1:59" ht="14.25" thickTop="1" thickBot="1" x14ac:dyDescent="0.25">
      <c r="A57" s="6" t="s">
        <v>86</v>
      </c>
      <c r="B57" s="13"/>
    </row>
    <row r="58" spans="1:59" ht="14.25" thickTop="1" thickBot="1" x14ac:dyDescent="0.25">
      <c r="A58" s="12" t="s">
        <v>87</v>
      </c>
      <c r="B58" s="13" t="s">
        <v>113</v>
      </c>
    </row>
    <row r="59" spans="1:59" ht="14.25" thickTop="1" thickBot="1" x14ac:dyDescent="0.25">
      <c r="A59" s="5" t="s">
        <v>106</v>
      </c>
      <c r="B59" s="13"/>
    </row>
    <row r="60" spans="1:59" ht="13.5" thickTop="1" x14ac:dyDescent="0.2">
      <c r="A60" t="s">
        <v>26</v>
      </c>
      <c r="B60" s="17" t="s">
        <v>27</v>
      </c>
      <c r="C60" t="s">
        <v>28</v>
      </c>
      <c r="D60" t="s">
        <v>29</v>
      </c>
      <c r="E60" t="s">
        <v>30</v>
      </c>
      <c r="F60">
        <v>331423</v>
      </c>
      <c r="G60" t="s">
        <v>31</v>
      </c>
      <c r="H60" t="b">
        <v>1</v>
      </c>
      <c r="I60" t="b">
        <v>0</v>
      </c>
      <c r="J60" t="b">
        <v>0</v>
      </c>
      <c r="K60" t="b">
        <v>1</v>
      </c>
      <c r="L60" t="s">
        <v>32</v>
      </c>
      <c r="M60">
        <v>331419</v>
      </c>
      <c r="N60">
        <v>1</v>
      </c>
      <c r="S60" t="b">
        <v>0</v>
      </c>
      <c r="T60" t="b">
        <v>1</v>
      </c>
      <c r="U60" t="s">
        <v>33</v>
      </c>
      <c r="V60" t="b">
        <v>1</v>
      </c>
      <c r="W60" t="b">
        <v>0</v>
      </c>
      <c r="X60" t="b">
        <v>0</v>
      </c>
      <c r="Y60" t="b">
        <v>0</v>
      </c>
      <c r="Z60" t="b">
        <v>0</v>
      </c>
      <c r="AA60" t="b">
        <v>0</v>
      </c>
      <c r="AB60" t="s">
        <v>1</v>
      </c>
      <c r="AC60" t="s">
        <v>114</v>
      </c>
      <c r="AD60" t="s">
        <v>1</v>
      </c>
      <c r="AE60" t="s">
        <v>114</v>
      </c>
      <c r="AF60" t="b">
        <v>0</v>
      </c>
      <c r="AG60" t="b">
        <v>0</v>
      </c>
      <c r="AH60" t="b">
        <v>0</v>
      </c>
      <c r="AI60" t="b">
        <v>1</v>
      </c>
      <c r="AJ60" t="s">
        <v>34</v>
      </c>
      <c r="AK60" t="b">
        <v>0</v>
      </c>
      <c r="AL60" t="s">
        <v>1</v>
      </c>
      <c r="AM60" t="b">
        <v>0</v>
      </c>
      <c r="AN60" t="b">
        <v>0</v>
      </c>
      <c r="AO60" t="s">
        <v>1</v>
      </c>
      <c r="AP60" t="b">
        <v>0</v>
      </c>
      <c r="AQ60" t="b">
        <v>1</v>
      </c>
      <c r="AR60" t="b">
        <v>0</v>
      </c>
      <c r="AS60" t="b">
        <v>0</v>
      </c>
      <c r="AT60" t="s">
        <v>1</v>
      </c>
      <c r="AU60" t="b">
        <v>1</v>
      </c>
      <c r="AV60" t="s">
        <v>35</v>
      </c>
      <c r="AW60" t="s">
        <v>114</v>
      </c>
      <c r="AX60" t="s">
        <v>1</v>
      </c>
      <c r="AY60" t="s">
        <v>114</v>
      </c>
      <c r="BF60" t="s">
        <v>36</v>
      </c>
      <c r="BG60" t="s">
        <v>113</v>
      </c>
    </row>
  </sheetData>
  <conditionalFormatting sqref="B1:B59">
    <cfRule type="cellIs" dxfId="0" priority="1" operator="equal">
      <formula>""</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45"/>
  <sheetViews>
    <sheetView zoomScaleNormal="100" workbookViewId="0">
      <pane xSplit="3" ySplit="10" topLeftCell="D11" activePane="bottomRight" state="frozen"/>
      <selection sqref="A1:T9"/>
      <selection pane="topRight" sqref="A1:T9"/>
      <selection pane="bottomLeft" sqref="A1:T9"/>
      <selection pane="bottomRight" sqref="A1:T9"/>
    </sheetView>
  </sheetViews>
  <sheetFormatPr defaultRowHeight="12.75" x14ac:dyDescent="0.2"/>
  <cols>
    <col min="1" max="1" width="4" bestFit="1" customWidth="1"/>
    <col min="2" max="2" width="8" bestFit="1" customWidth="1"/>
    <col min="3" max="3" width="4.140625" bestFit="1" customWidth="1"/>
    <col min="4" max="5" width="3.85546875" bestFit="1" customWidth="1"/>
    <col min="6" max="6" width="3.42578125" bestFit="1" customWidth="1"/>
    <col min="7" max="7" width="3.85546875" bestFit="1" customWidth="1"/>
    <col min="8" max="8" width="11.140625" bestFit="1" customWidth="1"/>
    <col min="9" max="15" width="3.85546875" bestFit="1" customWidth="1"/>
    <col min="16" max="16" width="4.7109375" bestFit="1" customWidth="1"/>
    <col min="17" max="18" width="3.85546875" bestFit="1" customWidth="1"/>
    <col min="19" max="19" width="5.5703125" bestFit="1" customWidth="1"/>
    <col min="20" max="20" width="4.140625" bestFit="1" customWidth="1"/>
    <col min="24" max="24" width="11.5703125" bestFit="1" customWidth="1"/>
  </cols>
  <sheetData>
    <row r="1" spans="1:24" s="25" customFormat="1" ht="19.5" thickBot="1" x14ac:dyDescent="0.35">
      <c r="A1" s="23" t="s">
        <v>179</v>
      </c>
      <c r="B1" s="24" t="s">
        <v>185</v>
      </c>
      <c r="C1" s="23" t="s">
        <v>184</v>
      </c>
    </row>
    <row r="2" spans="1:24" ht="19.5" thickTop="1" x14ac:dyDescent="0.3">
      <c r="D2" s="18" t="s">
        <v>136</v>
      </c>
      <c r="E2" s="18" t="s">
        <v>136</v>
      </c>
      <c r="F2" s="18" t="s">
        <v>180</v>
      </c>
      <c r="G2" s="18" t="s">
        <v>136</v>
      </c>
      <c r="H2" s="21" t="s">
        <v>192</v>
      </c>
      <c r="I2" s="18" t="s">
        <v>136</v>
      </c>
      <c r="J2" s="18" t="s">
        <v>136</v>
      </c>
      <c r="K2" s="18" t="s">
        <v>136</v>
      </c>
      <c r="L2" s="18" t="s">
        <v>136</v>
      </c>
      <c r="M2" s="18" t="s">
        <v>136</v>
      </c>
      <c r="N2" s="18" t="s">
        <v>136</v>
      </c>
      <c r="O2" s="18" t="s">
        <v>136</v>
      </c>
      <c r="P2" s="21" t="s">
        <v>162</v>
      </c>
      <c r="Q2" s="18" t="s">
        <v>136</v>
      </c>
      <c r="R2" s="18" t="s">
        <v>182</v>
      </c>
      <c r="S2" s="18" t="s">
        <v>140</v>
      </c>
      <c r="T2" s="18" t="s">
        <v>183</v>
      </c>
      <c r="W2" t="s">
        <v>187</v>
      </c>
      <c r="X2" t="str">
        <f>CONCATENATE("C12-",W2)</f>
        <v>C12-K347052</v>
      </c>
    </row>
    <row r="3" spans="1:24" ht="18.75" x14ac:dyDescent="0.3">
      <c r="D3" s="18" t="s">
        <v>136</v>
      </c>
      <c r="E3" s="18" t="s">
        <v>136</v>
      </c>
      <c r="F3" s="18" t="s">
        <v>180</v>
      </c>
      <c r="G3" s="18" t="s">
        <v>136</v>
      </c>
      <c r="H3" s="21" t="s">
        <v>192</v>
      </c>
      <c r="I3" s="18" t="s">
        <v>136</v>
      </c>
      <c r="J3" s="18" t="s">
        <v>136</v>
      </c>
      <c r="K3" s="18" t="s">
        <v>136</v>
      </c>
      <c r="L3" s="18" t="s">
        <v>136</v>
      </c>
      <c r="M3" s="18" t="s">
        <v>136</v>
      </c>
      <c r="N3" s="18" t="s">
        <v>136</v>
      </c>
      <c r="O3" s="18" t="s">
        <v>136</v>
      </c>
      <c r="P3" s="21" t="s">
        <v>162</v>
      </c>
      <c r="Q3" s="18" t="s">
        <v>136</v>
      </c>
      <c r="R3" s="18" t="s">
        <v>182</v>
      </c>
      <c r="S3" s="18" t="s">
        <v>140</v>
      </c>
      <c r="T3" s="18" t="s">
        <v>183</v>
      </c>
      <c r="W3" t="s">
        <v>188</v>
      </c>
      <c r="X3" t="str">
        <f t="shared" ref="X3:X6" si="0">CONCATENATE("C12-",W3)</f>
        <v>C12-K286997</v>
      </c>
    </row>
    <row r="4" spans="1:24" ht="18.75" x14ac:dyDescent="0.3">
      <c r="D4" s="18" t="s">
        <v>136</v>
      </c>
      <c r="E4" s="18" t="s">
        <v>136</v>
      </c>
      <c r="F4" s="18" t="s">
        <v>180</v>
      </c>
      <c r="G4" s="18" t="s">
        <v>136</v>
      </c>
      <c r="H4" s="21" t="s">
        <v>192</v>
      </c>
      <c r="I4" s="18" t="s">
        <v>136</v>
      </c>
      <c r="J4" s="18" t="s">
        <v>136</v>
      </c>
      <c r="K4" s="18" t="s">
        <v>136</v>
      </c>
      <c r="L4" s="18" t="s">
        <v>136</v>
      </c>
      <c r="M4" s="18" t="s">
        <v>136</v>
      </c>
      <c r="N4" s="18" t="s">
        <v>136</v>
      </c>
      <c r="O4" s="18" t="s">
        <v>136</v>
      </c>
      <c r="P4" s="21" t="s">
        <v>162</v>
      </c>
      <c r="Q4" s="18" t="s">
        <v>136</v>
      </c>
      <c r="R4" s="18" t="s">
        <v>182</v>
      </c>
      <c r="S4" s="18" t="s">
        <v>140</v>
      </c>
      <c r="T4" s="18" t="s">
        <v>183</v>
      </c>
      <c r="W4" t="s">
        <v>189</v>
      </c>
      <c r="X4" t="str">
        <f t="shared" si="0"/>
        <v>C12-K302453</v>
      </c>
    </row>
    <row r="5" spans="1:24" ht="18.75" x14ac:dyDescent="0.3">
      <c r="D5" s="18" t="s">
        <v>136</v>
      </c>
      <c r="E5" s="18" t="s">
        <v>136</v>
      </c>
      <c r="F5" s="18" t="s">
        <v>180</v>
      </c>
      <c r="G5" s="18" t="s">
        <v>136</v>
      </c>
      <c r="H5" s="21" t="s">
        <v>192</v>
      </c>
      <c r="I5" s="18" t="s">
        <v>136</v>
      </c>
      <c r="J5" s="18" t="s">
        <v>136</v>
      </c>
      <c r="K5" s="18" t="s">
        <v>136</v>
      </c>
      <c r="L5" s="18" t="s">
        <v>136</v>
      </c>
      <c r="M5" s="18" t="s">
        <v>136</v>
      </c>
      <c r="N5" s="18" t="s">
        <v>136</v>
      </c>
      <c r="O5" s="18" t="s">
        <v>136</v>
      </c>
      <c r="P5" s="21" t="s">
        <v>162</v>
      </c>
      <c r="Q5" s="18" t="s">
        <v>136</v>
      </c>
      <c r="R5" s="18" t="s">
        <v>182</v>
      </c>
      <c r="S5" s="18" t="s">
        <v>140</v>
      </c>
      <c r="T5" s="18" t="s">
        <v>183</v>
      </c>
      <c r="W5" t="s">
        <v>190</v>
      </c>
      <c r="X5" t="str">
        <f t="shared" si="0"/>
        <v>C12-K302452</v>
      </c>
    </row>
    <row r="6" spans="1:24" ht="18.75" x14ac:dyDescent="0.3">
      <c r="D6" s="18" t="s">
        <v>136</v>
      </c>
      <c r="E6" s="18" t="s">
        <v>136</v>
      </c>
      <c r="F6" s="18" t="s">
        <v>180</v>
      </c>
      <c r="G6" s="18" t="s">
        <v>136</v>
      </c>
      <c r="H6" s="21" t="s">
        <v>192</v>
      </c>
      <c r="I6" s="18" t="s">
        <v>136</v>
      </c>
      <c r="J6" s="18" t="s">
        <v>136</v>
      </c>
      <c r="K6" s="18" t="s">
        <v>136</v>
      </c>
      <c r="L6" s="18" t="s">
        <v>136</v>
      </c>
      <c r="M6" s="18" t="s">
        <v>136</v>
      </c>
      <c r="N6" s="18" t="s">
        <v>136</v>
      </c>
      <c r="O6" s="18" t="s">
        <v>136</v>
      </c>
      <c r="P6" s="21" t="s">
        <v>162</v>
      </c>
      <c r="Q6" s="18" t="s">
        <v>136</v>
      </c>
      <c r="R6" s="18" t="s">
        <v>182</v>
      </c>
      <c r="S6" s="18" t="s">
        <v>140</v>
      </c>
      <c r="T6" s="18" t="s">
        <v>183</v>
      </c>
      <c r="W6" t="s">
        <v>191</v>
      </c>
      <c r="X6" t="str">
        <f t="shared" si="0"/>
        <v>C12-K345905</v>
      </c>
    </row>
    <row r="7" spans="1:24" ht="18.75" x14ac:dyDescent="0.3">
      <c r="D7" s="18" t="s">
        <v>136</v>
      </c>
      <c r="E7" s="18" t="s">
        <v>136</v>
      </c>
      <c r="F7" s="18" t="s">
        <v>180</v>
      </c>
      <c r="G7" s="18" t="s">
        <v>136</v>
      </c>
      <c r="H7" s="21" t="s">
        <v>192</v>
      </c>
      <c r="I7" s="18" t="s">
        <v>136</v>
      </c>
      <c r="J7" s="18" t="s">
        <v>136</v>
      </c>
      <c r="K7" s="18" t="s">
        <v>136</v>
      </c>
      <c r="L7" s="18" t="s">
        <v>136</v>
      </c>
      <c r="M7" s="18" t="s">
        <v>136</v>
      </c>
      <c r="N7" s="18" t="s">
        <v>136</v>
      </c>
      <c r="O7" s="18" t="s">
        <v>136</v>
      </c>
      <c r="P7" s="21" t="s">
        <v>162</v>
      </c>
      <c r="Q7" s="18" t="s">
        <v>136</v>
      </c>
      <c r="R7" s="18" t="s">
        <v>182</v>
      </c>
      <c r="S7" s="18" t="s">
        <v>140</v>
      </c>
      <c r="T7" s="18" t="s">
        <v>183</v>
      </c>
    </row>
    <row r="8" spans="1:24" ht="18.75" x14ac:dyDescent="0.3">
      <c r="D8" s="18" t="s">
        <v>136</v>
      </c>
      <c r="E8" s="18" t="s">
        <v>136</v>
      </c>
      <c r="F8" s="18" t="s">
        <v>180</v>
      </c>
      <c r="G8" s="18" t="s">
        <v>136</v>
      </c>
      <c r="H8" s="21" t="s">
        <v>192</v>
      </c>
      <c r="I8" s="18" t="s">
        <v>136</v>
      </c>
      <c r="J8" s="18" t="s">
        <v>136</v>
      </c>
      <c r="K8" s="18" t="s">
        <v>136</v>
      </c>
      <c r="L8" s="18" t="s">
        <v>136</v>
      </c>
      <c r="M8" s="18" t="s">
        <v>136</v>
      </c>
      <c r="N8" s="18" t="s">
        <v>136</v>
      </c>
      <c r="O8" s="18" t="s">
        <v>136</v>
      </c>
      <c r="P8" s="21" t="s">
        <v>162</v>
      </c>
      <c r="Q8" s="18" t="s">
        <v>136</v>
      </c>
      <c r="R8" s="18" t="s">
        <v>182</v>
      </c>
      <c r="S8" s="18" t="s">
        <v>140</v>
      </c>
      <c r="T8" s="18" t="s">
        <v>183</v>
      </c>
    </row>
    <row r="9" spans="1:24" ht="18.75" x14ac:dyDescent="0.3">
      <c r="D9" s="18" t="s">
        <v>136</v>
      </c>
      <c r="E9" s="18" t="s">
        <v>136</v>
      </c>
      <c r="F9" s="18" t="s">
        <v>180</v>
      </c>
      <c r="G9" s="18" t="s">
        <v>136</v>
      </c>
      <c r="H9" s="21" t="s">
        <v>192</v>
      </c>
      <c r="I9" s="18" t="s">
        <v>136</v>
      </c>
      <c r="J9" s="18" t="s">
        <v>136</v>
      </c>
      <c r="K9" s="18" t="s">
        <v>136</v>
      </c>
      <c r="L9" s="18" t="s">
        <v>136</v>
      </c>
      <c r="M9" s="18" t="s">
        <v>136</v>
      </c>
      <c r="N9" s="18" t="s">
        <v>136</v>
      </c>
      <c r="O9" s="18" t="s">
        <v>136</v>
      </c>
      <c r="P9" s="21" t="s">
        <v>162</v>
      </c>
      <c r="Q9" s="18" t="s">
        <v>136</v>
      </c>
      <c r="R9" s="18" t="s">
        <v>182</v>
      </c>
      <c r="S9" s="18" t="s">
        <v>140</v>
      </c>
      <c r="T9" s="18" t="s">
        <v>183</v>
      </c>
    </row>
    <row r="10" spans="1:24" s="25" customFormat="1" ht="19.5" thickBot="1" x14ac:dyDescent="0.35">
      <c r="A10" s="23" t="s">
        <v>179</v>
      </c>
      <c r="B10" s="24" t="s">
        <v>185</v>
      </c>
      <c r="C10" s="23" t="s">
        <v>184</v>
      </c>
      <c r="W10"/>
    </row>
    <row r="11" spans="1:24" ht="19.5" thickTop="1" x14ac:dyDescent="0.3">
      <c r="D11" s="18" t="s">
        <v>136</v>
      </c>
      <c r="E11" s="18" t="s">
        <v>136</v>
      </c>
      <c r="F11" s="18" t="s">
        <v>180</v>
      </c>
      <c r="G11" s="18" t="s">
        <v>136</v>
      </c>
      <c r="H11" s="21" t="s">
        <v>188</v>
      </c>
      <c r="I11" s="18" t="s">
        <v>136</v>
      </c>
      <c r="J11" s="18" t="s">
        <v>136</v>
      </c>
      <c r="K11" s="18" t="s">
        <v>136</v>
      </c>
      <c r="L11" s="18" t="s">
        <v>136</v>
      </c>
      <c r="M11" s="18" t="s">
        <v>136</v>
      </c>
      <c r="N11" s="18" t="s">
        <v>136</v>
      </c>
      <c r="O11" s="18" t="s">
        <v>136</v>
      </c>
      <c r="P11" s="21" t="s">
        <v>162</v>
      </c>
      <c r="Q11" s="18" t="s">
        <v>136</v>
      </c>
      <c r="R11" s="18" t="s">
        <v>182</v>
      </c>
      <c r="S11" s="18" t="s">
        <v>140</v>
      </c>
      <c r="T11" s="18" t="s">
        <v>183</v>
      </c>
    </row>
    <row r="12" spans="1:24" ht="18.75" x14ac:dyDescent="0.3">
      <c r="D12" s="18" t="s">
        <v>136</v>
      </c>
      <c r="E12" s="18" t="s">
        <v>136</v>
      </c>
      <c r="F12" s="18" t="s">
        <v>180</v>
      </c>
      <c r="G12" s="18" t="s">
        <v>136</v>
      </c>
      <c r="H12" s="21" t="s">
        <v>188</v>
      </c>
      <c r="I12" s="18" t="s">
        <v>136</v>
      </c>
      <c r="J12" s="18" t="s">
        <v>136</v>
      </c>
      <c r="K12" s="18" t="s">
        <v>136</v>
      </c>
      <c r="L12" s="18" t="s">
        <v>136</v>
      </c>
      <c r="M12" s="18" t="s">
        <v>136</v>
      </c>
      <c r="N12" s="18" t="s">
        <v>136</v>
      </c>
      <c r="O12" s="18" t="s">
        <v>136</v>
      </c>
      <c r="P12" s="21" t="s">
        <v>162</v>
      </c>
      <c r="Q12" s="18" t="s">
        <v>136</v>
      </c>
      <c r="R12" s="18" t="s">
        <v>182</v>
      </c>
      <c r="S12" s="18" t="s">
        <v>140</v>
      </c>
      <c r="T12" s="18" t="s">
        <v>183</v>
      </c>
    </row>
    <row r="13" spans="1:24" ht="18.75" x14ac:dyDescent="0.3">
      <c r="D13" s="18" t="s">
        <v>136</v>
      </c>
      <c r="E13" s="18" t="s">
        <v>136</v>
      </c>
      <c r="F13" s="18" t="s">
        <v>180</v>
      </c>
      <c r="G13" s="18" t="s">
        <v>136</v>
      </c>
      <c r="H13" s="21" t="s">
        <v>188</v>
      </c>
      <c r="I13" s="18" t="s">
        <v>136</v>
      </c>
      <c r="J13" s="18" t="s">
        <v>136</v>
      </c>
      <c r="K13" s="18" t="s">
        <v>136</v>
      </c>
      <c r="L13" s="18" t="s">
        <v>136</v>
      </c>
      <c r="M13" s="18" t="s">
        <v>136</v>
      </c>
      <c r="N13" s="18" t="s">
        <v>136</v>
      </c>
      <c r="O13" s="18" t="s">
        <v>136</v>
      </c>
      <c r="P13" s="21" t="s">
        <v>162</v>
      </c>
      <c r="Q13" s="18" t="s">
        <v>136</v>
      </c>
      <c r="R13" s="18" t="s">
        <v>182</v>
      </c>
      <c r="S13" s="18" t="s">
        <v>140</v>
      </c>
      <c r="T13" s="18" t="s">
        <v>183</v>
      </c>
    </row>
    <row r="14" spans="1:24" ht="18.75" x14ac:dyDescent="0.3">
      <c r="D14" s="18" t="s">
        <v>136</v>
      </c>
      <c r="E14" s="18" t="s">
        <v>136</v>
      </c>
      <c r="F14" s="18" t="s">
        <v>180</v>
      </c>
      <c r="G14" s="18" t="s">
        <v>136</v>
      </c>
      <c r="H14" s="21" t="s">
        <v>188</v>
      </c>
      <c r="I14" s="18" t="s">
        <v>136</v>
      </c>
      <c r="J14" s="18" t="s">
        <v>136</v>
      </c>
      <c r="K14" s="18" t="s">
        <v>136</v>
      </c>
      <c r="L14" s="18" t="s">
        <v>136</v>
      </c>
      <c r="M14" s="18" t="s">
        <v>136</v>
      </c>
      <c r="N14" s="18" t="s">
        <v>136</v>
      </c>
      <c r="O14" s="18" t="s">
        <v>136</v>
      </c>
      <c r="P14" s="21" t="s">
        <v>162</v>
      </c>
      <c r="Q14" s="18" t="s">
        <v>136</v>
      </c>
      <c r="R14" s="18" t="s">
        <v>182</v>
      </c>
      <c r="S14" s="18" t="s">
        <v>140</v>
      </c>
      <c r="T14" s="18" t="s">
        <v>183</v>
      </c>
    </row>
    <row r="15" spans="1:24" ht="18.75" x14ac:dyDescent="0.3">
      <c r="D15" s="18" t="s">
        <v>136</v>
      </c>
      <c r="E15" s="18" t="s">
        <v>136</v>
      </c>
      <c r="F15" s="18" t="s">
        <v>180</v>
      </c>
      <c r="G15" s="18" t="s">
        <v>136</v>
      </c>
      <c r="H15" s="21" t="s">
        <v>188</v>
      </c>
      <c r="I15" s="18" t="s">
        <v>136</v>
      </c>
      <c r="J15" s="18" t="s">
        <v>136</v>
      </c>
      <c r="K15" s="18" t="s">
        <v>136</v>
      </c>
      <c r="L15" s="18" t="s">
        <v>136</v>
      </c>
      <c r="M15" s="18" t="s">
        <v>136</v>
      </c>
      <c r="N15" s="18" t="s">
        <v>136</v>
      </c>
      <c r="O15" s="18" t="s">
        <v>136</v>
      </c>
      <c r="P15" s="21" t="s">
        <v>162</v>
      </c>
      <c r="Q15" s="18" t="s">
        <v>136</v>
      </c>
      <c r="R15" s="18" t="s">
        <v>182</v>
      </c>
      <c r="S15" s="18" t="s">
        <v>140</v>
      </c>
      <c r="T15" s="18" t="s">
        <v>183</v>
      </c>
    </row>
    <row r="16" spans="1:24" ht="18.75" x14ac:dyDescent="0.3">
      <c r="D16" s="18" t="s">
        <v>136</v>
      </c>
      <c r="E16" s="18" t="s">
        <v>136</v>
      </c>
      <c r="F16" s="18" t="s">
        <v>180</v>
      </c>
      <c r="G16" s="18" t="s">
        <v>136</v>
      </c>
      <c r="H16" s="21" t="s">
        <v>188</v>
      </c>
      <c r="I16" s="18" t="s">
        <v>136</v>
      </c>
      <c r="J16" s="18" t="s">
        <v>136</v>
      </c>
      <c r="K16" s="18" t="s">
        <v>136</v>
      </c>
      <c r="L16" s="18" t="s">
        <v>136</v>
      </c>
      <c r="M16" s="18" t="s">
        <v>136</v>
      </c>
      <c r="N16" s="18" t="s">
        <v>136</v>
      </c>
      <c r="O16" s="18" t="s">
        <v>136</v>
      </c>
      <c r="P16" s="21" t="s">
        <v>162</v>
      </c>
      <c r="Q16" s="18" t="s">
        <v>136</v>
      </c>
      <c r="R16" s="18" t="s">
        <v>182</v>
      </c>
      <c r="S16" s="18" t="s">
        <v>140</v>
      </c>
      <c r="T16" s="18" t="s">
        <v>183</v>
      </c>
    </row>
    <row r="17" spans="1:23" ht="18.75" x14ac:dyDescent="0.3">
      <c r="D17" s="18" t="s">
        <v>136</v>
      </c>
      <c r="E17" s="18" t="s">
        <v>136</v>
      </c>
      <c r="F17" s="18" t="s">
        <v>180</v>
      </c>
      <c r="G17" s="18" t="s">
        <v>136</v>
      </c>
      <c r="H17" s="21" t="s">
        <v>188</v>
      </c>
      <c r="I17" s="18" t="s">
        <v>136</v>
      </c>
      <c r="J17" s="18" t="s">
        <v>136</v>
      </c>
      <c r="K17" s="18" t="s">
        <v>136</v>
      </c>
      <c r="L17" s="18" t="s">
        <v>136</v>
      </c>
      <c r="M17" s="18" t="s">
        <v>136</v>
      </c>
      <c r="N17" s="18" t="s">
        <v>136</v>
      </c>
      <c r="O17" s="18" t="s">
        <v>136</v>
      </c>
      <c r="P17" s="21" t="s">
        <v>162</v>
      </c>
      <c r="Q17" s="18" t="s">
        <v>136</v>
      </c>
      <c r="R17" s="18" t="s">
        <v>182</v>
      </c>
      <c r="S17" s="18" t="s">
        <v>140</v>
      </c>
      <c r="T17" s="18" t="s">
        <v>183</v>
      </c>
    </row>
    <row r="18" spans="1:23" ht="18.75" x14ac:dyDescent="0.3">
      <c r="D18" s="18" t="s">
        <v>136</v>
      </c>
      <c r="E18" s="18" t="s">
        <v>136</v>
      </c>
      <c r="F18" s="18" t="s">
        <v>180</v>
      </c>
      <c r="G18" s="18" t="s">
        <v>136</v>
      </c>
      <c r="H18" s="21" t="s">
        <v>188</v>
      </c>
      <c r="I18" s="18" t="s">
        <v>136</v>
      </c>
      <c r="J18" s="18" t="s">
        <v>136</v>
      </c>
      <c r="K18" s="18" t="s">
        <v>136</v>
      </c>
      <c r="L18" s="18" t="s">
        <v>136</v>
      </c>
      <c r="M18" s="18" t="s">
        <v>136</v>
      </c>
      <c r="N18" s="18" t="s">
        <v>136</v>
      </c>
      <c r="O18" s="18" t="s">
        <v>136</v>
      </c>
      <c r="P18" s="21" t="s">
        <v>162</v>
      </c>
      <c r="Q18" s="18" t="s">
        <v>136</v>
      </c>
      <c r="R18" s="18" t="s">
        <v>182</v>
      </c>
      <c r="S18" s="18" t="s">
        <v>140</v>
      </c>
      <c r="T18" s="18" t="s">
        <v>183</v>
      </c>
    </row>
    <row r="19" spans="1:23" s="25" customFormat="1" ht="19.5" thickBot="1" x14ac:dyDescent="0.35">
      <c r="A19" s="23" t="s">
        <v>179</v>
      </c>
      <c r="B19" s="24" t="s">
        <v>185</v>
      </c>
      <c r="C19" s="23" t="s">
        <v>184</v>
      </c>
      <c r="W19"/>
    </row>
    <row r="20" spans="1:23" ht="19.5" thickTop="1" x14ac:dyDescent="0.3">
      <c r="D20" s="18" t="s">
        <v>136</v>
      </c>
      <c r="E20" s="18" t="s">
        <v>136</v>
      </c>
      <c r="F20" s="18" t="s">
        <v>180</v>
      </c>
      <c r="G20" s="18" t="s">
        <v>136</v>
      </c>
      <c r="H20" s="21" t="s">
        <v>189</v>
      </c>
      <c r="I20" s="18" t="s">
        <v>136</v>
      </c>
      <c r="J20" s="18" t="s">
        <v>136</v>
      </c>
      <c r="K20" s="18" t="s">
        <v>136</v>
      </c>
      <c r="L20" s="18" t="s">
        <v>136</v>
      </c>
      <c r="M20" s="18" t="s">
        <v>136</v>
      </c>
      <c r="N20" s="18" t="s">
        <v>136</v>
      </c>
      <c r="O20" s="18" t="s">
        <v>136</v>
      </c>
      <c r="P20" s="21" t="s">
        <v>162</v>
      </c>
      <c r="Q20" s="18" t="s">
        <v>136</v>
      </c>
      <c r="R20" s="18" t="s">
        <v>182</v>
      </c>
      <c r="S20" s="18" t="s">
        <v>140</v>
      </c>
      <c r="T20" s="18" t="s">
        <v>183</v>
      </c>
    </row>
    <row r="21" spans="1:23" ht="18.75" x14ac:dyDescent="0.3">
      <c r="D21" s="18" t="s">
        <v>136</v>
      </c>
      <c r="E21" s="18" t="s">
        <v>136</v>
      </c>
      <c r="F21" s="18" t="s">
        <v>180</v>
      </c>
      <c r="G21" s="18" t="s">
        <v>136</v>
      </c>
      <c r="H21" s="21" t="s">
        <v>189</v>
      </c>
      <c r="I21" s="18" t="s">
        <v>136</v>
      </c>
      <c r="J21" s="18" t="s">
        <v>136</v>
      </c>
      <c r="K21" s="18" t="s">
        <v>136</v>
      </c>
      <c r="L21" s="18" t="s">
        <v>136</v>
      </c>
      <c r="M21" s="18" t="s">
        <v>136</v>
      </c>
      <c r="N21" s="18" t="s">
        <v>136</v>
      </c>
      <c r="O21" s="18" t="s">
        <v>136</v>
      </c>
      <c r="P21" s="21" t="s">
        <v>162</v>
      </c>
      <c r="Q21" s="18" t="s">
        <v>136</v>
      </c>
      <c r="R21" s="18" t="s">
        <v>182</v>
      </c>
      <c r="S21" s="18" t="s">
        <v>140</v>
      </c>
      <c r="T21" s="18" t="s">
        <v>183</v>
      </c>
    </row>
    <row r="22" spans="1:23" ht="18.75" x14ac:dyDescent="0.3">
      <c r="D22" s="18" t="s">
        <v>136</v>
      </c>
      <c r="E22" s="18" t="s">
        <v>136</v>
      </c>
      <c r="F22" s="18" t="s">
        <v>180</v>
      </c>
      <c r="G22" s="18" t="s">
        <v>136</v>
      </c>
      <c r="H22" s="21" t="s">
        <v>189</v>
      </c>
      <c r="I22" s="18" t="s">
        <v>136</v>
      </c>
      <c r="J22" s="18" t="s">
        <v>136</v>
      </c>
      <c r="K22" s="18" t="s">
        <v>136</v>
      </c>
      <c r="L22" s="18" t="s">
        <v>136</v>
      </c>
      <c r="M22" s="18" t="s">
        <v>136</v>
      </c>
      <c r="N22" s="18" t="s">
        <v>136</v>
      </c>
      <c r="O22" s="18" t="s">
        <v>136</v>
      </c>
      <c r="P22" s="21" t="s">
        <v>162</v>
      </c>
      <c r="Q22" s="18" t="s">
        <v>136</v>
      </c>
      <c r="R22" s="18" t="s">
        <v>182</v>
      </c>
      <c r="S22" s="18" t="s">
        <v>140</v>
      </c>
      <c r="T22" s="18" t="s">
        <v>183</v>
      </c>
    </row>
    <row r="23" spans="1:23" ht="18.75" x14ac:dyDescent="0.3">
      <c r="D23" s="18" t="s">
        <v>136</v>
      </c>
      <c r="E23" s="18" t="s">
        <v>136</v>
      </c>
      <c r="F23" s="18" t="s">
        <v>180</v>
      </c>
      <c r="G23" s="18" t="s">
        <v>136</v>
      </c>
      <c r="H23" s="21" t="s">
        <v>189</v>
      </c>
      <c r="I23" s="18" t="s">
        <v>136</v>
      </c>
      <c r="J23" s="18" t="s">
        <v>136</v>
      </c>
      <c r="K23" s="18" t="s">
        <v>136</v>
      </c>
      <c r="L23" s="18" t="s">
        <v>136</v>
      </c>
      <c r="M23" s="18" t="s">
        <v>136</v>
      </c>
      <c r="N23" s="18" t="s">
        <v>136</v>
      </c>
      <c r="O23" s="18" t="s">
        <v>136</v>
      </c>
      <c r="P23" s="21" t="s">
        <v>162</v>
      </c>
      <c r="Q23" s="18" t="s">
        <v>136</v>
      </c>
      <c r="R23" s="18" t="s">
        <v>182</v>
      </c>
      <c r="S23" s="18" t="s">
        <v>140</v>
      </c>
      <c r="T23" s="18" t="s">
        <v>183</v>
      </c>
    </row>
    <row r="24" spans="1:23" ht="18.75" x14ac:dyDescent="0.3">
      <c r="D24" s="18" t="s">
        <v>136</v>
      </c>
      <c r="E24" s="18" t="s">
        <v>136</v>
      </c>
      <c r="F24" s="18" t="s">
        <v>180</v>
      </c>
      <c r="G24" s="18" t="s">
        <v>136</v>
      </c>
      <c r="H24" s="21" t="s">
        <v>189</v>
      </c>
      <c r="I24" s="18" t="s">
        <v>136</v>
      </c>
      <c r="J24" s="18" t="s">
        <v>136</v>
      </c>
      <c r="K24" s="18" t="s">
        <v>136</v>
      </c>
      <c r="L24" s="18" t="s">
        <v>136</v>
      </c>
      <c r="M24" s="18" t="s">
        <v>136</v>
      </c>
      <c r="N24" s="18" t="s">
        <v>136</v>
      </c>
      <c r="O24" s="18" t="s">
        <v>136</v>
      </c>
      <c r="P24" s="21" t="s">
        <v>162</v>
      </c>
      <c r="Q24" s="18" t="s">
        <v>136</v>
      </c>
      <c r="R24" s="18" t="s">
        <v>182</v>
      </c>
      <c r="S24" s="18" t="s">
        <v>140</v>
      </c>
      <c r="T24" s="18" t="s">
        <v>183</v>
      </c>
    </row>
    <row r="25" spans="1:23" ht="18.75" x14ac:dyDescent="0.3">
      <c r="D25" s="18" t="s">
        <v>136</v>
      </c>
      <c r="E25" s="18" t="s">
        <v>136</v>
      </c>
      <c r="F25" s="18" t="s">
        <v>180</v>
      </c>
      <c r="G25" s="18" t="s">
        <v>136</v>
      </c>
      <c r="H25" s="21" t="s">
        <v>189</v>
      </c>
      <c r="I25" s="18" t="s">
        <v>136</v>
      </c>
      <c r="J25" s="18" t="s">
        <v>136</v>
      </c>
      <c r="K25" s="18" t="s">
        <v>136</v>
      </c>
      <c r="L25" s="18" t="s">
        <v>136</v>
      </c>
      <c r="M25" s="18" t="s">
        <v>136</v>
      </c>
      <c r="N25" s="18" t="s">
        <v>136</v>
      </c>
      <c r="O25" s="18" t="s">
        <v>136</v>
      </c>
      <c r="P25" s="21" t="s">
        <v>162</v>
      </c>
      <c r="Q25" s="18" t="s">
        <v>136</v>
      </c>
      <c r="R25" s="18" t="s">
        <v>182</v>
      </c>
      <c r="S25" s="18" t="s">
        <v>140</v>
      </c>
      <c r="T25" s="18" t="s">
        <v>183</v>
      </c>
    </row>
    <row r="26" spans="1:23" ht="18.75" x14ac:dyDescent="0.3">
      <c r="D26" s="18" t="s">
        <v>136</v>
      </c>
      <c r="E26" s="18" t="s">
        <v>136</v>
      </c>
      <c r="F26" s="18" t="s">
        <v>180</v>
      </c>
      <c r="G26" s="18" t="s">
        <v>136</v>
      </c>
      <c r="H26" s="21" t="s">
        <v>189</v>
      </c>
      <c r="I26" s="18" t="s">
        <v>136</v>
      </c>
      <c r="J26" s="18" t="s">
        <v>136</v>
      </c>
      <c r="K26" s="18" t="s">
        <v>136</v>
      </c>
      <c r="L26" s="18" t="s">
        <v>136</v>
      </c>
      <c r="M26" s="18" t="s">
        <v>136</v>
      </c>
      <c r="N26" s="18" t="s">
        <v>136</v>
      </c>
      <c r="O26" s="18" t="s">
        <v>136</v>
      </c>
      <c r="P26" s="21" t="s">
        <v>162</v>
      </c>
      <c r="Q26" s="18" t="s">
        <v>136</v>
      </c>
      <c r="R26" s="18" t="s">
        <v>182</v>
      </c>
      <c r="S26" s="18" t="s">
        <v>140</v>
      </c>
      <c r="T26" s="18" t="s">
        <v>183</v>
      </c>
    </row>
    <row r="27" spans="1:23" ht="18.75" x14ac:dyDescent="0.3">
      <c r="D27" s="18" t="s">
        <v>136</v>
      </c>
      <c r="E27" s="18" t="s">
        <v>136</v>
      </c>
      <c r="F27" s="18" t="s">
        <v>180</v>
      </c>
      <c r="G27" s="18" t="s">
        <v>136</v>
      </c>
      <c r="H27" s="21" t="s">
        <v>189</v>
      </c>
      <c r="I27" s="18" t="s">
        <v>136</v>
      </c>
      <c r="J27" s="18" t="s">
        <v>136</v>
      </c>
      <c r="K27" s="18" t="s">
        <v>136</v>
      </c>
      <c r="L27" s="18" t="s">
        <v>136</v>
      </c>
      <c r="M27" s="18" t="s">
        <v>136</v>
      </c>
      <c r="N27" s="18" t="s">
        <v>136</v>
      </c>
      <c r="O27" s="18" t="s">
        <v>136</v>
      </c>
      <c r="P27" s="21" t="s">
        <v>162</v>
      </c>
      <c r="Q27" s="18" t="s">
        <v>136</v>
      </c>
      <c r="R27" s="18" t="s">
        <v>182</v>
      </c>
      <c r="S27" s="18" t="s">
        <v>140</v>
      </c>
      <c r="T27" s="18" t="s">
        <v>183</v>
      </c>
    </row>
    <row r="28" spans="1:23" s="25" customFormat="1" ht="19.5" thickBot="1" x14ac:dyDescent="0.35">
      <c r="A28" s="23" t="s">
        <v>179</v>
      </c>
      <c r="B28" s="24" t="s">
        <v>185</v>
      </c>
      <c r="C28" s="23" t="s">
        <v>184</v>
      </c>
      <c r="W28"/>
    </row>
    <row r="29" spans="1:23" ht="19.5" thickTop="1" x14ac:dyDescent="0.3">
      <c r="D29" s="18" t="s">
        <v>136</v>
      </c>
      <c r="E29" s="18" t="s">
        <v>136</v>
      </c>
      <c r="F29" s="18" t="s">
        <v>180</v>
      </c>
      <c r="G29" s="18" t="s">
        <v>136</v>
      </c>
      <c r="H29" s="21" t="s">
        <v>190</v>
      </c>
      <c r="I29" s="18" t="s">
        <v>136</v>
      </c>
      <c r="J29" s="18" t="s">
        <v>136</v>
      </c>
      <c r="K29" s="18" t="s">
        <v>136</v>
      </c>
      <c r="L29" s="18" t="s">
        <v>136</v>
      </c>
      <c r="M29" s="18" t="s">
        <v>136</v>
      </c>
      <c r="N29" s="18" t="s">
        <v>136</v>
      </c>
      <c r="O29" s="18" t="s">
        <v>136</v>
      </c>
      <c r="P29" s="21" t="s">
        <v>162</v>
      </c>
      <c r="Q29" s="18" t="s">
        <v>136</v>
      </c>
      <c r="R29" s="18" t="s">
        <v>182</v>
      </c>
      <c r="S29" s="18" t="s">
        <v>140</v>
      </c>
      <c r="T29" s="18" t="s">
        <v>183</v>
      </c>
    </row>
    <row r="30" spans="1:23" ht="18.75" x14ac:dyDescent="0.3">
      <c r="D30" s="18" t="s">
        <v>136</v>
      </c>
      <c r="E30" s="18" t="s">
        <v>136</v>
      </c>
      <c r="F30" s="18" t="s">
        <v>180</v>
      </c>
      <c r="G30" s="18" t="s">
        <v>136</v>
      </c>
      <c r="H30" s="21" t="s">
        <v>190</v>
      </c>
      <c r="I30" s="18" t="s">
        <v>136</v>
      </c>
      <c r="J30" s="18" t="s">
        <v>136</v>
      </c>
      <c r="K30" s="18" t="s">
        <v>136</v>
      </c>
      <c r="L30" s="18" t="s">
        <v>136</v>
      </c>
      <c r="M30" s="18" t="s">
        <v>136</v>
      </c>
      <c r="N30" s="18" t="s">
        <v>136</v>
      </c>
      <c r="O30" s="18" t="s">
        <v>136</v>
      </c>
      <c r="P30" s="21" t="s">
        <v>162</v>
      </c>
      <c r="Q30" s="18" t="s">
        <v>136</v>
      </c>
      <c r="R30" s="18" t="s">
        <v>182</v>
      </c>
      <c r="S30" s="18" t="s">
        <v>140</v>
      </c>
      <c r="T30" s="18" t="s">
        <v>183</v>
      </c>
    </row>
    <row r="31" spans="1:23" ht="18.75" x14ac:dyDescent="0.3">
      <c r="D31" s="18" t="s">
        <v>136</v>
      </c>
      <c r="E31" s="18" t="s">
        <v>136</v>
      </c>
      <c r="F31" s="18" t="s">
        <v>180</v>
      </c>
      <c r="G31" s="18" t="s">
        <v>136</v>
      </c>
      <c r="H31" s="21" t="s">
        <v>190</v>
      </c>
      <c r="I31" s="18" t="s">
        <v>136</v>
      </c>
      <c r="J31" s="18" t="s">
        <v>136</v>
      </c>
      <c r="K31" s="18" t="s">
        <v>136</v>
      </c>
      <c r="L31" s="18" t="s">
        <v>136</v>
      </c>
      <c r="M31" s="18" t="s">
        <v>136</v>
      </c>
      <c r="N31" s="18" t="s">
        <v>136</v>
      </c>
      <c r="O31" s="18" t="s">
        <v>136</v>
      </c>
      <c r="P31" s="21" t="s">
        <v>162</v>
      </c>
      <c r="Q31" s="18" t="s">
        <v>136</v>
      </c>
      <c r="R31" s="18" t="s">
        <v>182</v>
      </c>
      <c r="S31" s="18" t="s">
        <v>140</v>
      </c>
      <c r="T31" s="18" t="s">
        <v>183</v>
      </c>
    </row>
    <row r="32" spans="1:23" ht="18.75" x14ac:dyDescent="0.3">
      <c r="D32" s="18" t="s">
        <v>136</v>
      </c>
      <c r="E32" s="18" t="s">
        <v>136</v>
      </c>
      <c r="F32" s="18" t="s">
        <v>180</v>
      </c>
      <c r="G32" s="18" t="s">
        <v>136</v>
      </c>
      <c r="H32" s="21" t="s">
        <v>190</v>
      </c>
      <c r="I32" s="18" t="s">
        <v>136</v>
      </c>
      <c r="J32" s="18" t="s">
        <v>136</v>
      </c>
      <c r="K32" s="18" t="s">
        <v>136</v>
      </c>
      <c r="L32" s="18" t="s">
        <v>136</v>
      </c>
      <c r="M32" s="18" t="s">
        <v>136</v>
      </c>
      <c r="N32" s="18" t="s">
        <v>136</v>
      </c>
      <c r="O32" s="18" t="s">
        <v>136</v>
      </c>
      <c r="P32" s="21" t="s">
        <v>162</v>
      </c>
      <c r="Q32" s="18" t="s">
        <v>136</v>
      </c>
      <c r="R32" s="18" t="s">
        <v>182</v>
      </c>
      <c r="S32" s="18" t="s">
        <v>140</v>
      </c>
      <c r="T32" s="18" t="s">
        <v>183</v>
      </c>
    </row>
    <row r="33" spans="1:23" ht="18.75" x14ac:dyDescent="0.3">
      <c r="D33" s="18" t="s">
        <v>136</v>
      </c>
      <c r="E33" s="18" t="s">
        <v>136</v>
      </c>
      <c r="F33" s="18" t="s">
        <v>180</v>
      </c>
      <c r="G33" s="18" t="s">
        <v>136</v>
      </c>
      <c r="H33" s="21" t="s">
        <v>190</v>
      </c>
      <c r="I33" s="18" t="s">
        <v>136</v>
      </c>
      <c r="J33" s="18" t="s">
        <v>136</v>
      </c>
      <c r="K33" s="18" t="s">
        <v>136</v>
      </c>
      <c r="L33" s="18" t="s">
        <v>136</v>
      </c>
      <c r="M33" s="18" t="s">
        <v>136</v>
      </c>
      <c r="N33" s="18" t="s">
        <v>136</v>
      </c>
      <c r="O33" s="18" t="s">
        <v>136</v>
      </c>
      <c r="P33" s="21" t="s">
        <v>162</v>
      </c>
      <c r="Q33" s="18" t="s">
        <v>136</v>
      </c>
      <c r="R33" s="18" t="s">
        <v>182</v>
      </c>
      <c r="S33" s="18" t="s">
        <v>140</v>
      </c>
      <c r="T33" s="18" t="s">
        <v>183</v>
      </c>
    </row>
    <row r="34" spans="1:23" ht="18.75" x14ac:dyDescent="0.3">
      <c r="D34" s="18" t="s">
        <v>136</v>
      </c>
      <c r="E34" s="18" t="s">
        <v>136</v>
      </c>
      <c r="F34" s="18" t="s">
        <v>180</v>
      </c>
      <c r="G34" s="18" t="s">
        <v>136</v>
      </c>
      <c r="H34" s="21" t="s">
        <v>190</v>
      </c>
      <c r="I34" s="18" t="s">
        <v>136</v>
      </c>
      <c r="J34" s="18" t="s">
        <v>136</v>
      </c>
      <c r="K34" s="18" t="s">
        <v>136</v>
      </c>
      <c r="L34" s="18" t="s">
        <v>136</v>
      </c>
      <c r="M34" s="18" t="s">
        <v>136</v>
      </c>
      <c r="N34" s="18" t="s">
        <v>136</v>
      </c>
      <c r="O34" s="18" t="s">
        <v>136</v>
      </c>
      <c r="P34" s="21" t="s">
        <v>162</v>
      </c>
      <c r="Q34" s="18" t="s">
        <v>136</v>
      </c>
      <c r="R34" s="18" t="s">
        <v>182</v>
      </c>
      <c r="S34" s="18" t="s">
        <v>140</v>
      </c>
      <c r="T34" s="18" t="s">
        <v>183</v>
      </c>
    </row>
    <row r="35" spans="1:23" ht="18.75" x14ac:dyDescent="0.3">
      <c r="D35" s="18" t="s">
        <v>136</v>
      </c>
      <c r="E35" s="18" t="s">
        <v>136</v>
      </c>
      <c r="F35" s="18" t="s">
        <v>180</v>
      </c>
      <c r="G35" s="18" t="s">
        <v>136</v>
      </c>
      <c r="H35" s="21" t="s">
        <v>190</v>
      </c>
      <c r="I35" s="18" t="s">
        <v>136</v>
      </c>
      <c r="J35" s="18" t="s">
        <v>136</v>
      </c>
      <c r="K35" s="18" t="s">
        <v>136</v>
      </c>
      <c r="L35" s="18" t="s">
        <v>136</v>
      </c>
      <c r="M35" s="18" t="s">
        <v>136</v>
      </c>
      <c r="N35" s="18" t="s">
        <v>136</v>
      </c>
      <c r="O35" s="18" t="s">
        <v>136</v>
      </c>
      <c r="P35" s="21" t="s">
        <v>162</v>
      </c>
      <c r="Q35" s="18" t="s">
        <v>136</v>
      </c>
      <c r="R35" s="18" t="s">
        <v>182</v>
      </c>
      <c r="S35" s="18" t="s">
        <v>140</v>
      </c>
      <c r="T35" s="18" t="s">
        <v>183</v>
      </c>
    </row>
    <row r="36" spans="1:23" ht="18.75" x14ac:dyDescent="0.3">
      <c r="D36" s="18" t="s">
        <v>136</v>
      </c>
      <c r="E36" s="18" t="s">
        <v>136</v>
      </c>
      <c r="F36" s="18" t="s">
        <v>180</v>
      </c>
      <c r="G36" s="18" t="s">
        <v>136</v>
      </c>
      <c r="H36" s="21" t="s">
        <v>190</v>
      </c>
      <c r="I36" s="18" t="s">
        <v>136</v>
      </c>
      <c r="J36" s="18" t="s">
        <v>136</v>
      </c>
      <c r="K36" s="18" t="s">
        <v>136</v>
      </c>
      <c r="L36" s="18" t="s">
        <v>136</v>
      </c>
      <c r="M36" s="18" t="s">
        <v>136</v>
      </c>
      <c r="N36" s="18" t="s">
        <v>136</v>
      </c>
      <c r="O36" s="18" t="s">
        <v>136</v>
      </c>
      <c r="P36" s="21" t="s">
        <v>162</v>
      </c>
      <c r="Q36" s="18" t="s">
        <v>136</v>
      </c>
      <c r="R36" s="18" t="s">
        <v>182</v>
      </c>
      <c r="S36" s="18" t="s">
        <v>140</v>
      </c>
      <c r="T36" s="18" t="s">
        <v>183</v>
      </c>
    </row>
    <row r="37" spans="1:23" s="25" customFormat="1" ht="19.5" thickBot="1" x14ac:dyDescent="0.35">
      <c r="A37" s="23" t="s">
        <v>179</v>
      </c>
      <c r="B37" s="24" t="s">
        <v>185</v>
      </c>
      <c r="C37" s="23" t="s">
        <v>184</v>
      </c>
      <c r="W37"/>
    </row>
    <row r="38" spans="1:23" ht="19.5" thickTop="1" x14ac:dyDescent="0.3">
      <c r="D38" s="18" t="s">
        <v>136</v>
      </c>
      <c r="E38" s="18" t="s">
        <v>136</v>
      </c>
      <c r="F38" s="18" t="s">
        <v>180</v>
      </c>
      <c r="G38" s="18" t="s">
        <v>136</v>
      </c>
      <c r="H38" s="21" t="s">
        <v>191</v>
      </c>
      <c r="I38" s="18" t="s">
        <v>136</v>
      </c>
      <c r="J38" s="18" t="s">
        <v>136</v>
      </c>
      <c r="K38" s="18" t="s">
        <v>136</v>
      </c>
      <c r="L38" s="18" t="s">
        <v>136</v>
      </c>
      <c r="M38" s="18" t="s">
        <v>136</v>
      </c>
      <c r="N38" s="18" t="s">
        <v>136</v>
      </c>
      <c r="O38" s="18" t="s">
        <v>136</v>
      </c>
      <c r="P38" s="21" t="s">
        <v>162</v>
      </c>
      <c r="Q38" s="18" t="s">
        <v>136</v>
      </c>
      <c r="R38" s="18" t="s">
        <v>182</v>
      </c>
      <c r="S38" s="18" t="s">
        <v>140</v>
      </c>
      <c r="T38" s="18" t="s">
        <v>183</v>
      </c>
    </row>
    <row r="39" spans="1:23" ht="18.75" x14ac:dyDescent="0.3">
      <c r="D39" s="18" t="s">
        <v>136</v>
      </c>
      <c r="E39" s="18" t="s">
        <v>136</v>
      </c>
      <c r="F39" s="18" t="s">
        <v>180</v>
      </c>
      <c r="G39" s="18" t="s">
        <v>136</v>
      </c>
      <c r="H39" s="21" t="s">
        <v>191</v>
      </c>
      <c r="I39" s="18" t="s">
        <v>136</v>
      </c>
      <c r="J39" s="18" t="s">
        <v>136</v>
      </c>
      <c r="K39" s="18" t="s">
        <v>136</v>
      </c>
      <c r="L39" s="18" t="s">
        <v>136</v>
      </c>
      <c r="M39" s="18" t="s">
        <v>136</v>
      </c>
      <c r="N39" s="18" t="s">
        <v>136</v>
      </c>
      <c r="O39" s="18" t="s">
        <v>136</v>
      </c>
      <c r="P39" s="21" t="s">
        <v>162</v>
      </c>
      <c r="Q39" s="18" t="s">
        <v>136</v>
      </c>
      <c r="R39" s="18" t="s">
        <v>182</v>
      </c>
      <c r="S39" s="18" t="s">
        <v>140</v>
      </c>
      <c r="T39" s="18" t="s">
        <v>183</v>
      </c>
    </row>
    <row r="40" spans="1:23" ht="18.75" x14ac:dyDescent="0.3">
      <c r="D40" s="18" t="s">
        <v>136</v>
      </c>
      <c r="E40" s="18" t="s">
        <v>136</v>
      </c>
      <c r="F40" s="18" t="s">
        <v>180</v>
      </c>
      <c r="G40" s="18" t="s">
        <v>136</v>
      </c>
      <c r="H40" s="21" t="s">
        <v>191</v>
      </c>
      <c r="I40" s="18" t="s">
        <v>136</v>
      </c>
      <c r="J40" s="18" t="s">
        <v>136</v>
      </c>
      <c r="K40" s="18" t="s">
        <v>136</v>
      </c>
      <c r="L40" s="18" t="s">
        <v>136</v>
      </c>
      <c r="M40" s="18" t="s">
        <v>136</v>
      </c>
      <c r="N40" s="18" t="s">
        <v>136</v>
      </c>
      <c r="O40" s="18" t="s">
        <v>136</v>
      </c>
      <c r="P40" s="21" t="s">
        <v>162</v>
      </c>
      <c r="Q40" s="18" t="s">
        <v>136</v>
      </c>
      <c r="R40" s="18" t="s">
        <v>182</v>
      </c>
      <c r="S40" s="18" t="s">
        <v>140</v>
      </c>
      <c r="T40" s="18" t="s">
        <v>183</v>
      </c>
    </row>
    <row r="41" spans="1:23" ht="18.75" x14ac:dyDescent="0.3">
      <c r="D41" s="18" t="s">
        <v>136</v>
      </c>
      <c r="E41" s="18" t="s">
        <v>136</v>
      </c>
      <c r="F41" s="18" t="s">
        <v>180</v>
      </c>
      <c r="G41" s="18" t="s">
        <v>136</v>
      </c>
      <c r="H41" s="21" t="s">
        <v>191</v>
      </c>
      <c r="I41" s="18" t="s">
        <v>136</v>
      </c>
      <c r="J41" s="18" t="s">
        <v>136</v>
      </c>
      <c r="K41" s="18" t="s">
        <v>136</v>
      </c>
      <c r="L41" s="18" t="s">
        <v>136</v>
      </c>
      <c r="M41" s="18" t="s">
        <v>136</v>
      </c>
      <c r="N41" s="18" t="s">
        <v>136</v>
      </c>
      <c r="O41" s="18" t="s">
        <v>136</v>
      </c>
      <c r="P41" s="21" t="s">
        <v>162</v>
      </c>
      <c r="Q41" s="18" t="s">
        <v>136</v>
      </c>
      <c r="R41" s="18" t="s">
        <v>182</v>
      </c>
      <c r="S41" s="18" t="s">
        <v>140</v>
      </c>
      <c r="T41" s="18" t="s">
        <v>183</v>
      </c>
    </row>
    <row r="42" spans="1:23" ht="18.75" x14ac:dyDescent="0.3">
      <c r="D42" s="18" t="s">
        <v>136</v>
      </c>
      <c r="E42" s="18" t="s">
        <v>136</v>
      </c>
      <c r="F42" s="18" t="s">
        <v>180</v>
      </c>
      <c r="G42" s="18" t="s">
        <v>136</v>
      </c>
      <c r="H42" s="21" t="s">
        <v>191</v>
      </c>
      <c r="I42" s="18" t="s">
        <v>136</v>
      </c>
      <c r="J42" s="18" t="s">
        <v>136</v>
      </c>
      <c r="K42" s="18" t="s">
        <v>136</v>
      </c>
      <c r="L42" s="18" t="s">
        <v>136</v>
      </c>
      <c r="M42" s="18" t="s">
        <v>136</v>
      </c>
      <c r="N42" s="18" t="s">
        <v>136</v>
      </c>
      <c r="O42" s="18" t="s">
        <v>136</v>
      </c>
      <c r="P42" s="21" t="s">
        <v>162</v>
      </c>
      <c r="Q42" s="18" t="s">
        <v>136</v>
      </c>
      <c r="R42" s="18" t="s">
        <v>182</v>
      </c>
      <c r="S42" s="18" t="s">
        <v>140</v>
      </c>
      <c r="T42" s="18" t="s">
        <v>183</v>
      </c>
    </row>
    <row r="43" spans="1:23" ht="18.75" x14ac:dyDescent="0.3">
      <c r="D43" s="18" t="s">
        <v>136</v>
      </c>
      <c r="E43" s="18" t="s">
        <v>136</v>
      </c>
      <c r="F43" s="18" t="s">
        <v>180</v>
      </c>
      <c r="G43" s="18" t="s">
        <v>136</v>
      </c>
      <c r="H43" s="21" t="s">
        <v>191</v>
      </c>
      <c r="I43" s="18" t="s">
        <v>136</v>
      </c>
      <c r="J43" s="18" t="s">
        <v>136</v>
      </c>
      <c r="K43" s="18" t="s">
        <v>136</v>
      </c>
      <c r="L43" s="18" t="s">
        <v>136</v>
      </c>
      <c r="M43" s="18" t="s">
        <v>136</v>
      </c>
      <c r="N43" s="18" t="s">
        <v>136</v>
      </c>
      <c r="O43" s="18" t="s">
        <v>136</v>
      </c>
      <c r="P43" s="21" t="s">
        <v>162</v>
      </c>
      <c r="Q43" s="18" t="s">
        <v>136</v>
      </c>
      <c r="R43" s="18" t="s">
        <v>182</v>
      </c>
      <c r="S43" s="18" t="s">
        <v>140</v>
      </c>
      <c r="T43" s="18" t="s">
        <v>183</v>
      </c>
    </row>
    <row r="44" spans="1:23" ht="18.75" x14ac:dyDescent="0.3">
      <c r="D44" s="18" t="s">
        <v>136</v>
      </c>
      <c r="E44" s="18" t="s">
        <v>136</v>
      </c>
      <c r="F44" s="18" t="s">
        <v>180</v>
      </c>
      <c r="G44" s="18" t="s">
        <v>136</v>
      </c>
      <c r="H44" s="21" t="s">
        <v>191</v>
      </c>
      <c r="I44" s="18" t="s">
        <v>136</v>
      </c>
      <c r="J44" s="18" t="s">
        <v>136</v>
      </c>
      <c r="K44" s="18" t="s">
        <v>136</v>
      </c>
      <c r="L44" s="18" t="s">
        <v>136</v>
      </c>
      <c r="M44" s="18" t="s">
        <v>136</v>
      </c>
      <c r="N44" s="18" t="s">
        <v>136</v>
      </c>
      <c r="O44" s="18" t="s">
        <v>136</v>
      </c>
      <c r="P44" s="21" t="s">
        <v>162</v>
      </c>
      <c r="Q44" s="18" t="s">
        <v>136</v>
      </c>
      <c r="R44" s="18" t="s">
        <v>182</v>
      </c>
      <c r="S44" s="18" t="s">
        <v>140</v>
      </c>
      <c r="T44" s="18" t="s">
        <v>183</v>
      </c>
    </row>
    <row r="45" spans="1:23" ht="18.75" x14ac:dyDescent="0.3">
      <c r="D45" s="18" t="s">
        <v>136</v>
      </c>
      <c r="E45" s="18" t="s">
        <v>136</v>
      </c>
      <c r="F45" s="18" t="s">
        <v>180</v>
      </c>
      <c r="G45" s="18" t="s">
        <v>136</v>
      </c>
      <c r="H45" s="21" t="s">
        <v>191</v>
      </c>
      <c r="I45" s="18" t="s">
        <v>136</v>
      </c>
      <c r="J45" s="18" t="s">
        <v>136</v>
      </c>
      <c r="K45" s="18" t="s">
        <v>136</v>
      </c>
      <c r="L45" s="18" t="s">
        <v>136</v>
      </c>
      <c r="M45" s="18" t="s">
        <v>136</v>
      </c>
      <c r="N45" s="18" t="s">
        <v>136</v>
      </c>
      <c r="O45" s="18" t="s">
        <v>136</v>
      </c>
      <c r="P45" s="21" t="s">
        <v>162</v>
      </c>
      <c r="Q45" s="18" t="s">
        <v>136</v>
      </c>
      <c r="R45" s="18" t="s">
        <v>182</v>
      </c>
      <c r="S45" s="18" t="s">
        <v>140</v>
      </c>
      <c r="T45" s="18" t="s">
        <v>183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AS7"/>
  <sheetViews>
    <sheetView zoomScale="85" zoomScaleNormal="85" workbookViewId="0">
      <pane xSplit="5" ySplit="1" topLeftCell="F2" activePane="bottomRight" state="frozen"/>
      <selection sqref="A1:T9"/>
      <selection pane="topRight" sqref="A1:T9"/>
      <selection pane="bottomLeft" sqref="A1:T9"/>
      <selection pane="bottomRight" sqref="A1:T9"/>
    </sheetView>
  </sheetViews>
  <sheetFormatPr defaultRowHeight="18.75" x14ac:dyDescent="0.3"/>
  <cols>
    <col min="1" max="1" width="9.7109375" bestFit="1" customWidth="1"/>
    <col min="2" max="2" width="4" bestFit="1" customWidth="1"/>
    <col min="3" max="3" width="12.140625" style="22" bestFit="1" customWidth="1"/>
    <col min="4" max="4" width="4" bestFit="1" customWidth="1"/>
    <col min="5" max="5" width="16.5703125" bestFit="1" customWidth="1"/>
    <col min="6" max="6" width="4" bestFit="1" customWidth="1"/>
    <col min="7" max="8" width="4" customWidth="1"/>
    <col min="9" max="9" width="4.7109375" bestFit="1" customWidth="1"/>
    <col min="10" max="10" width="4" bestFit="1" customWidth="1"/>
    <col min="11" max="11" width="9.42578125" bestFit="1" customWidth="1"/>
    <col min="12" max="12" width="4" bestFit="1" customWidth="1"/>
    <col min="13" max="13" width="12.140625" bestFit="1" customWidth="1"/>
    <col min="14" max="14" width="4" bestFit="1" customWidth="1"/>
    <col min="15" max="16" width="5.7109375" bestFit="1" customWidth="1"/>
    <col min="17" max="18" width="4" bestFit="1" customWidth="1"/>
    <col min="19" max="19" width="15.42578125" bestFit="1" customWidth="1"/>
    <col min="20" max="21" width="5.7109375" bestFit="1" customWidth="1"/>
    <col min="22" max="22" width="4" bestFit="1" customWidth="1"/>
    <col min="23" max="23" width="21.140625" bestFit="1" customWidth="1"/>
    <col min="24" max="25" width="4" bestFit="1" customWidth="1"/>
    <col min="26" max="26" width="12" bestFit="1" customWidth="1"/>
    <col min="27" max="27" width="4" bestFit="1" customWidth="1"/>
    <col min="28" max="28" width="19.28515625" bestFit="1" customWidth="1"/>
    <col min="29" max="29" width="4" bestFit="1" customWidth="1"/>
    <col min="30" max="30" width="9.140625" bestFit="1" customWidth="1"/>
    <col min="31" max="31" width="4" bestFit="1" customWidth="1"/>
    <col min="32" max="32" width="16.7109375" bestFit="1" customWidth="1"/>
    <col min="33" max="33" width="4" bestFit="1" customWidth="1"/>
    <col min="34" max="34" width="12.7109375" bestFit="1" customWidth="1"/>
    <col min="35" max="35" width="4" bestFit="1" customWidth="1"/>
    <col min="36" max="36" width="9.85546875" bestFit="1" customWidth="1"/>
    <col min="37" max="37" width="4" bestFit="1" customWidth="1"/>
    <col min="38" max="38" width="10.7109375" bestFit="1" customWidth="1"/>
    <col min="39" max="39" width="4" bestFit="1" customWidth="1"/>
    <col min="40" max="40" width="11.85546875" bestFit="1" customWidth="1"/>
    <col min="41" max="41" width="4" bestFit="1" customWidth="1"/>
    <col min="42" max="42" width="4.140625" bestFit="1" customWidth="1"/>
    <col min="43" max="43" width="5.7109375" bestFit="1" customWidth="1"/>
    <col min="44" max="44" width="7.140625" bestFit="1" customWidth="1"/>
    <col min="45" max="45" width="3.85546875" bestFit="1" customWidth="1"/>
  </cols>
  <sheetData>
    <row r="2" spans="1:45" x14ac:dyDescent="0.3">
      <c r="A2" s="21" t="str">
        <f>LEFT(C2,SEARCH("/",C2)-1)</f>
        <v>T203252</v>
      </c>
      <c r="B2" s="18" t="s">
        <v>136</v>
      </c>
      <c r="C2" s="26" t="s">
        <v>186</v>
      </c>
      <c r="D2" s="18" t="s">
        <v>136</v>
      </c>
      <c r="E2" s="26" t="s">
        <v>181</v>
      </c>
      <c r="F2" s="18" t="s">
        <v>136</v>
      </c>
      <c r="G2" s="21" t="s">
        <v>170</v>
      </c>
      <c r="H2" s="18" t="s">
        <v>136</v>
      </c>
      <c r="I2" s="21" t="s">
        <v>162</v>
      </c>
      <c r="J2" s="18" t="s">
        <v>136</v>
      </c>
      <c r="K2" s="21" t="s">
        <v>163</v>
      </c>
      <c r="L2" s="18" t="s">
        <v>136</v>
      </c>
      <c r="M2" s="21" t="s">
        <v>164</v>
      </c>
      <c r="N2" s="18" t="s">
        <v>136</v>
      </c>
      <c r="O2" s="18" t="s">
        <v>140</v>
      </c>
      <c r="P2" s="18" t="s">
        <v>141</v>
      </c>
      <c r="Q2" s="18" t="s">
        <v>136</v>
      </c>
      <c r="R2" s="18" t="s">
        <v>136</v>
      </c>
      <c r="S2" s="21" t="s">
        <v>165</v>
      </c>
      <c r="T2" s="18" t="s">
        <v>140</v>
      </c>
      <c r="U2" s="18" t="s">
        <v>141</v>
      </c>
      <c r="V2" s="18" t="s">
        <v>149</v>
      </c>
      <c r="W2" s="21" t="s">
        <v>150</v>
      </c>
      <c r="X2" s="18" t="s">
        <v>136</v>
      </c>
      <c r="Y2" s="18" t="s">
        <v>136</v>
      </c>
      <c r="Z2" s="21" t="s">
        <v>166</v>
      </c>
      <c r="AA2" s="18" t="s">
        <v>136</v>
      </c>
      <c r="AB2" s="21" t="s">
        <v>152</v>
      </c>
      <c r="AC2" s="18" t="s">
        <v>136</v>
      </c>
      <c r="AD2" s="21" t="s">
        <v>167</v>
      </c>
      <c r="AE2" s="18" t="s">
        <v>136</v>
      </c>
      <c r="AF2" s="21" t="s">
        <v>168</v>
      </c>
      <c r="AG2" s="18" t="s">
        <v>136</v>
      </c>
      <c r="AH2" s="21" t="s">
        <v>169</v>
      </c>
      <c r="AI2" s="18" t="s">
        <v>136</v>
      </c>
      <c r="AJ2" s="21">
        <v>400012</v>
      </c>
      <c r="AK2" s="18" t="s">
        <v>136</v>
      </c>
      <c r="AL2" s="21"/>
      <c r="AM2" s="18" t="s">
        <v>136</v>
      </c>
      <c r="AN2" s="21"/>
      <c r="AO2" s="18" t="s">
        <v>136</v>
      </c>
      <c r="AP2" s="18" t="s">
        <v>158</v>
      </c>
      <c r="AQ2" s="18" t="s">
        <v>140</v>
      </c>
      <c r="AR2" s="18" t="s">
        <v>159</v>
      </c>
      <c r="AS2" s="18" t="s">
        <v>160</v>
      </c>
    </row>
    <row r="3" spans="1:45" x14ac:dyDescent="0.3">
      <c r="A3" s="21"/>
      <c r="B3" s="18"/>
      <c r="C3" s="21"/>
      <c r="D3" s="18"/>
      <c r="E3" s="21"/>
      <c r="F3" s="18"/>
      <c r="G3" s="21"/>
      <c r="H3" s="18"/>
      <c r="I3" s="21"/>
      <c r="J3" s="18"/>
      <c r="K3" s="21"/>
      <c r="L3" s="18"/>
      <c r="M3" s="21"/>
      <c r="N3" s="18"/>
      <c r="O3" s="18"/>
      <c r="P3" s="18"/>
      <c r="Q3" s="18"/>
      <c r="R3" s="18"/>
      <c r="S3" s="21"/>
      <c r="T3" s="18"/>
      <c r="U3" s="18"/>
      <c r="V3" s="18"/>
      <c r="W3" s="21"/>
      <c r="X3" s="18"/>
      <c r="Y3" s="18"/>
      <c r="Z3" s="21"/>
      <c r="AA3" s="18"/>
      <c r="AB3" s="21"/>
      <c r="AC3" s="18"/>
      <c r="AD3" s="21"/>
      <c r="AE3" s="18"/>
      <c r="AF3" s="21"/>
      <c r="AG3" s="18"/>
      <c r="AH3" s="21"/>
      <c r="AI3" s="18"/>
      <c r="AJ3" s="21"/>
      <c r="AK3" s="18"/>
      <c r="AL3" s="21"/>
      <c r="AM3" s="18"/>
      <c r="AN3" s="21"/>
      <c r="AO3" s="18"/>
      <c r="AP3" s="18"/>
      <c r="AQ3" s="18"/>
      <c r="AR3" s="18"/>
      <c r="AS3" s="18"/>
    </row>
    <row r="4" spans="1:45" x14ac:dyDescent="0.3">
      <c r="A4" s="21"/>
      <c r="B4" s="18"/>
      <c r="C4" s="21"/>
      <c r="D4" s="18"/>
      <c r="E4" s="21"/>
      <c r="F4" s="18"/>
      <c r="G4" s="21"/>
      <c r="H4" s="18"/>
      <c r="I4" s="21"/>
      <c r="J4" s="18"/>
      <c r="K4" s="21"/>
      <c r="L4" s="18"/>
      <c r="M4" s="21"/>
      <c r="N4" s="18"/>
      <c r="O4" s="18"/>
      <c r="P4" s="18"/>
      <c r="Q4" s="18"/>
      <c r="R4" s="18"/>
      <c r="S4" s="21"/>
      <c r="T4" s="18"/>
      <c r="U4" s="18"/>
      <c r="V4" s="18"/>
      <c r="W4" s="21"/>
      <c r="X4" s="18"/>
      <c r="Y4" s="18"/>
      <c r="Z4" s="21"/>
      <c r="AA4" s="18"/>
      <c r="AB4" s="21"/>
      <c r="AC4" s="18"/>
      <c r="AD4" s="21"/>
      <c r="AE4" s="18"/>
      <c r="AF4" s="21"/>
      <c r="AG4" s="18"/>
      <c r="AH4" s="21"/>
      <c r="AI4" s="18"/>
      <c r="AJ4" s="21"/>
      <c r="AK4" s="18"/>
      <c r="AL4" s="21"/>
      <c r="AM4" s="18"/>
      <c r="AN4" s="21"/>
      <c r="AO4" s="18"/>
      <c r="AP4" s="18"/>
      <c r="AQ4" s="18"/>
      <c r="AR4" s="18"/>
      <c r="AS4" s="18"/>
    </row>
    <row r="5" spans="1:45" x14ac:dyDescent="0.3">
      <c r="A5" s="21"/>
      <c r="B5" s="18"/>
      <c r="C5" s="21"/>
      <c r="D5" s="18"/>
      <c r="E5" s="21"/>
      <c r="F5" s="18"/>
      <c r="G5" s="21"/>
      <c r="H5" s="18"/>
      <c r="I5" s="21"/>
      <c r="J5" s="18"/>
      <c r="K5" s="21"/>
      <c r="L5" s="18"/>
      <c r="M5" s="21"/>
      <c r="N5" s="18"/>
      <c r="O5" s="18"/>
      <c r="P5" s="18"/>
      <c r="Q5" s="18"/>
      <c r="R5" s="18"/>
      <c r="S5" s="21"/>
      <c r="T5" s="18"/>
      <c r="U5" s="18"/>
      <c r="V5" s="18"/>
      <c r="W5" s="21"/>
      <c r="X5" s="18"/>
      <c r="Y5" s="18"/>
      <c r="Z5" s="21"/>
      <c r="AA5" s="18"/>
      <c r="AB5" s="21"/>
      <c r="AC5" s="18"/>
      <c r="AD5" s="21"/>
      <c r="AE5" s="18"/>
      <c r="AF5" s="21"/>
      <c r="AG5" s="18"/>
      <c r="AH5" s="21"/>
      <c r="AI5" s="18"/>
      <c r="AJ5" s="21"/>
      <c r="AK5" s="18"/>
      <c r="AL5" s="21"/>
      <c r="AM5" s="18"/>
      <c r="AN5" s="21"/>
      <c r="AO5" s="18"/>
      <c r="AP5" s="18"/>
      <c r="AQ5" s="18"/>
      <c r="AR5" s="18"/>
      <c r="AS5" s="18"/>
    </row>
    <row r="6" spans="1:45" x14ac:dyDescent="0.3">
      <c r="A6" s="21"/>
      <c r="B6" s="18"/>
      <c r="C6" s="21"/>
      <c r="D6" s="18"/>
      <c r="E6" s="21"/>
      <c r="F6" s="18"/>
      <c r="G6" s="21"/>
      <c r="H6" s="18"/>
      <c r="I6" s="21"/>
      <c r="J6" s="18"/>
      <c r="K6" s="21"/>
      <c r="L6" s="18"/>
      <c r="M6" s="21"/>
      <c r="N6" s="18"/>
      <c r="O6" s="18"/>
      <c r="P6" s="18"/>
      <c r="Q6" s="18"/>
      <c r="R6" s="18"/>
      <c r="S6" s="21"/>
      <c r="T6" s="18"/>
      <c r="U6" s="18"/>
      <c r="V6" s="18"/>
      <c r="W6" s="21"/>
      <c r="X6" s="18"/>
      <c r="Y6" s="18"/>
      <c r="Z6" s="21"/>
      <c r="AA6" s="18"/>
      <c r="AB6" s="21"/>
      <c r="AC6" s="18"/>
      <c r="AD6" s="21"/>
      <c r="AE6" s="18"/>
      <c r="AF6" s="21"/>
      <c r="AG6" s="18"/>
      <c r="AH6" s="21"/>
      <c r="AI6" s="18"/>
      <c r="AJ6" s="21"/>
      <c r="AK6" s="18"/>
      <c r="AL6" s="21"/>
      <c r="AM6" s="18"/>
      <c r="AN6" s="21"/>
      <c r="AO6" s="18"/>
      <c r="AP6" s="18"/>
      <c r="AQ6" s="18"/>
      <c r="AR6" s="18"/>
      <c r="AS6" s="18"/>
    </row>
    <row r="7" spans="1:45" x14ac:dyDescent="0.3">
      <c r="A7" s="21"/>
      <c r="B7" s="18"/>
      <c r="C7" s="21"/>
      <c r="D7" s="18"/>
      <c r="E7" s="21"/>
      <c r="F7" s="18"/>
      <c r="G7" s="21"/>
      <c r="H7" s="18"/>
      <c r="I7" s="21"/>
      <c r="J7" s="18"/>
      <c r="K7" s="21"/>
      <c r="L7" s="18"/>
      <c r="M7" s="21"/>
      <c r="N7" s="18"/>
      <c r="O7" s="18"/>
      <c r="P7" s="18"/>
      <c r="Q7" s="18"/>
      <c r="R7" s="18"/>
      <c r="S7" s="21"/>
      <c r="T7" s="18"/>
      <c r="U7" s="18"/>
      <c r="V7" s="18"/>
      <c r="W7" s="21"/>
      <c r="X7" s="18"/>
      <c r="Y7" s="18"/>
      <c r="Z7" s="21"/>
      <c r="AA7" s="18"/>
      <c r="AB7" s="21"/>
      <c r="AC7" s="18"/>
      <c r="AD7" s="21"/>
      <c r="AE7" s="18"/>
      <c r="AF7" s="21"/>
      <c r="AG7" s="18"/>
      <c r="AH7" s="21"/>
      <c r="AI7" s="18"/>
      <c r="AJ7" s="21"/>
      <c r="AK7" s="18"/>
      <c r="AL7" s="21"/>
      <c r="AM7" s="18"/>
      <c r="AN7" s="21"/>
      <c r="AO7" s="18"/>
      <c r="AP7" s="18"/>
      <c r="AQ7" s="18"/>
      <c r="AR7" s="18"/>
      <c r="AS7" s="18"/>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H1"/>
  <sheetViews>
    <sheetView zoomScale="85" zoomScaleNormal="85" workbookViewId="0">
      <selection sqref="A1:T9"/>
    </sheetView>
  </sheetViews>
  <sheetFormatPr defaultRowHeight="18.75" x14ac:dyDescent="0.3"/>
  <cols>
    <col min="1" max="1" width="11.85546875" bestFit="1" customWidth="1"/>
    <col min="3" max="3" width="12.140625" style="21" bestFit="1" customWidth="1"/>
    <col min="6" max="6" width="22.42578125" customWidth="1"/>
    <col min="17" max="17" width="11.5703125" bestFit="1" customWidth="1"/>
    <col min="19" max="19" width="4" bestFit="1" customWidth="1"/>
    <col min="20" max="20" width="23.7109375" customWidth="1"/>
  </cols>
  <sheetData>
    <row r="1" spans="1:60" x14ac:dyDescent="0.3">
      <c r="A1" t="str">
        <f>LEFT(C1,SEARCH("/",C1)-1)</f>
        <v>T51745</v>
      </c>
      <c r="B1" s="18" t="s">
        <v>136</v>
      </c>
      <c r="C1" s="21" t="s">
        <v>161</v>
      </c>
      <c r="D1" s="18" t="s">
        <v>136</v>
      </c>
      <c r="E1" s="19"/>
      <c r="F1" t="str">
        <f>AssetSummary!B2</f>
        <v>Syringe Pump</v>
      </c>
      <c r="G1" s="18" t="s">
        <v>136</v>
      </c>
      <c r="H1" t="s">
        <v>162</v>
      </c>
      <c r="I1" s="18" t="s">
        <v>136</v>
      </c>
      <c r="J1" t="s">
        <v>138</v>
      </c>
      <c r="K1" s="18" t="s">
        <v>136</v>
      </c>
      <c r="L1" t="s">
        <v>139</v>
      </c>
      <c r="M1" s="18" t="s">
        <v>136</v>
      </c>
      <c r="N1" s="18" t="s">
        <v>140</v>
      </c>
      <c r="O1" s="18" t="s">
        <v>141</v>
      </c>
      <c r="P1" s="18" t="s">
        <v>136</v>
      </c>
      <c r="Q1" t="s">
        <v>142</v>
      </c>
      <c r="R1" t="s">
        <v>143</v>
      </c>
      <c r="S1" s="18" t="s">
        <v>136</v>
      </c>
      <c r="T1" t="s">
        <v>144</v>
      </c>
      <c r="U1" s="18" t="s">
        <v>136</v>
      </c>
      <c r="V1" s="18" t="s">
        <v>140</v>
      </c>
      <c r="W1" s="18" t="s">
        <v>145</v>
      </c>
      <c r="X1" s="18" t="s">
        <v>141</v>
      </c>
      <c r="Y1" s="18" t="s">
        <v>140</v>
      </c>
      <c r="Z1" s="18" t="s">
        <v>136</v>
      </c>
      <c r="AA1" s="18" t="s">
        <v>136</v>
      </c>
      <c r="AB1" s="18" t="s">
        <v>136</v>
      </c>
      <c r="AC1" s="18" t="s">
        <v>136</v>
      </c>
      <c r="AD1" t="s">
        <v>146</v>
      </c>
      <c r="AE1" s="18" t="s">
        <v>136</v>
      </c>
      <c r="AF1" t="s">
        <v>147</v>
      </c>
      <c r="AG1" s="18" t="s">
        <v>136</v>
      </c>
      <c r="AH1" t="s">
        <v>148</v>
      </c>
      <c r="AI1" s="18" t="s">
        <v>140</v>
      </c>
      <c r="AJ1" s="18" t="s">
        <v>141</v>
      </c>
      <c r="AK1" s="18" t="s">
        <v>149</v>
      </c>
      <c r="AL1" s="20" t="s">
        <v>150</v>
      </c>
      <c r="AM1" s="18" t="s">
        <v>136</v>
      </c>
      <c r="AN1" s="18" t="s">
        <v>136</v>
      </c>
      <c r="AO1" t="s">
        <v>151</v>
      </c>
      <c r="AP1" s="18" t="s">
        <v>136</v>
      </c>
      <c r="AQ1" t="s">
        <v>152</v>
      </c>
      <c r="AR1" s="18" t="s">
        <v>136</v>
      </c>
      <c r="AS1" t="s">
        <v>153</v>
      </c>
      <c r="AT1" s="18" t="s">
        <v>136</v>
      </c>
      <c r="AU1" t="s">
        <v>154</v>
      </c>
      <c r="AV1" s="18" t="s">
        <v>136</v>
      </c>
      <c r="AW1" t="s">
        <v>155</v>
      </c>
      <c r="AX1" s="18" t="s">
        <v>136</v>
      </c>
      <c r="AY1" s="17" t="s">
        <v>137</v>
      </c>
      <c r="AZ1" s="18" t="s">
        <v>136</v>
      </c>
      <c r="BA1" t="s">
        <v>156</v>
      </c>
      <c r="BB1" s="18" t="s">
        <v>136</v>
      </c>
      <c r="BC1" t="s">
        <v>157</v>
      </c>
      <c r="BD1" s="18" t="s">
        <v>136</v>
      </c>
      <c r="BE1" s="18" t="s">
        <v>158</v>
      </c>
      <c r="BF1" s="18" t="s">
        <v>140</v>
      </c>
      <c r="BG1" s="18" t="s">
        <v>159</v>
      </c>
      <c r="BH1" s="18" t="s">
        <v>160</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Z98"/>
  <sheetViews>
    <sheetView tabSelected="1" zoomScale="115" zoomScaleNormal="115" workbookViewId="0">
      <pane ySplit="1" topLeftCell="A14" activePane="bottomLeft" state="frozen"/>
      <selection pane="bottomLeft" activeCell="C21" sqref="C21"/>
    </sheetView>
  </sheetViews>
  <sheetFormatPr defaultColWidth="12.5703125" defaultRowHeight="12.75" x14ac:dyDescent="0.2"/>
  <cols>
    <col min="1" max="1" width="15.140625" style="56" customWidth="1"/>
    <col min="2" max="2" width="12" style="56" customWidth="1"/>
    <col min="3" max="3" width="56.42578125" style="56" customWidth="1"/>
    <col min="4" max="4" width="13" style="56" customWidth="1"/>
    <col min="5" max="5" width="15.5703125" style="56" bestFit="1" customWidth="1"/>
    <col min="6" max="6" width="19.28515625" style="56" customWidth="1"/>
    <col min="7" max="7" width="9.5703125" style="56" customWidth="1"/>
    <col min="8" max="8" width="20.7109375" style="56" customWidth="1"/>
    <col min="9" max="9" width="28.42578125" style="56" customWidth="1"/>
    <col min="10" max="10" width="18.7109375" style="56" customWidth="1"/>
    <col min="11" max="11" width="15.5703125" style="56" customWidth="1"/>
    <col min="12" max="12" width="14.28515625" style="56" bestFit="1" customWidth="1"/>
    <col min="13" max="13" width="17.42578125" style="56" customWidth="1"/>
    <col min="14" max="14" width="17.7109375" style="56" customWidth="1"/>
    <col min="15" max="15" width="16.7109375" style="56" customWidth="1"/>
    <col min="16" max="16" width="20" style="56" customWidth="1"/>
    <col min="17" max="17" width="19.5703125" style="56" customWidth="1"/>
    <col min="18" max="19" width="15" style="56" customWidth="1"/>
    <col min="20" max="20" width="8.140625" style="56" customWidth="1"/>
    <col min="21" max="21" width="19.42578125" style="56" customWidth="1"/>
    <col min="22" max="22" width="13.7109375" style="56" customWidth="1"/>
    <col min="23" max="23" width="16.7109375" style="56" customWidth="1"/>
    <col min="24" max="24" width="27.28515625" style="56" customWidth="1"/>
    <col min="25" max="25" width="15.5703125" style="56" customWidth="1"/>
    <col min="26" max="26" width="17.7109375" style="56" customWidth="1"/>
    <col min="27" max="27" width="26.5703125" style="56" customWidth="1"/>
    <col min="28" max="28" width="11.42578125" style="56" customWidth="1"/>
    <col min="29" max="29" width="18.5703125" style="56" customWidth="1"/>
    <col min="30" max="30" width="28.5703125" style="56" customWidth="1"/>
    <col min="31" max="31" width="29.85546875" style="56" customWidth="1"/>
    <col min="32" max="32" width="28.85546875" style="56" customWidth="1"/>
    <col min="33" max="33" width="23.5703125" style="56" customWidth="1"/>
    <col min="34" max="34" width="42.140625" style="56" customWidth="1"/>
    <col min="35" max="35" width="18.7109375" style="56" customWidth="1"/>
    <col min="36" max="36" width="22.7109375" style="56" customWidth="1"/>
    <col min="37" max="37" width="16" style="56" customWidth="1"/>
    <col min="38" max="38" width="26.28515625" style="56" customWidth="1"/>
    <col min="39" max="39" width="23.7109375" style="56" customWidth="1"/>
    <col min="40" max="40" width="27" style="56" customWidth="1"/>
    <col min="41" max="41" width="28" style="56" customWidth="1"/>
    <col min="42" max="42" width="37.28515625" style="56" customWidth="1"/>
    <col min="43" max="43" width="32" style="56" customWidth="1"/>
    <col min="44" max="44" width="42.28515625" style="56" customWidth="1"/>
    <col min="45" max="45" width="12.28515625" style="56" customWidth="1"/>
    <col min="46" max="46" width="14.85546875" style="56" customWidth="1"/>
    <col min="47" max="47" width="15.5703125" style="56" customWidth="1"/>
    <col min="48" max="48" width="20.5703125" style="56" customWidth="1"/>
    <col min="49" max="49" width="26.28515625" style="56" customWidth="1"/>
    <col min="50" max="50" width="29.85546875" style="56" customWidth="1"/>
    <col min="51" max="51" width="24.5703125" style="56" customWidth="1"/>
    <col min="52" max="52" width="36.28515625" style="56" customWidth="1"/>
    <col min="53" max="53" width="26.7109375" style="56" customWidth="1"/>
    <col min="54" max="54" width="37.140625" style="56" customWidth="1"/>
    <col min="55" max="55" width="18.140625" style="56" customWidth="1"/>
    <col min="56" max="56" width="20.140625" style="56" customWidth="1"/>
    <col min="57" max="57" width="30" style="56" customWidth="1"/>
    <col min="58" max="58" width="13.85546875" style="56" customWidth="1"/>
    <col min="59" max="59" width="21" style="56" customWidth="1"/>
    <col min="60" max="60" width="31.5703125" style="56" customWidth="1"/>
    <col min="61" max="61" width="26.42578125" style="56" customWidth="1"/>
    <col min="62" max="62" width="12.7109375" style="56" customWidth="1"/>
    <col min="63" max="63" width="26.28515625" style="56" customWidth="1"/>
    <col min="64" max="64" width="40.140625" style="56" customWidth="1"/>
    <col min="65" max="65" width="20.7109375" style="56" customWidth="1"/>
    <col min="66" max="66" width="28.5703125" style="56" customWidth="1"/>
    <col min="67" max="67" width="16" style="56" customWidth="1"/>
    <col min="68" max="68" width="14.85546875" style="56" customWidth="1"/>
    <col min="69" max="69" width="17.42578125" style="56" customWidth="1"/>
    <col min="70" max="70" width="18.140625" style="56" customWidth="1"/>
    <col min="71" max="71" width="15.140625" style="56" customWidth="1"/>
    <col min="72" max="72" width="18" style="56" customWidth="1"/>
    <col min="73" max="73" width="18.140625" style="56" customWidth="1"/>
    <col min="74" max="74" width="24.140625" style="56" customWidth="1"/>
    <col min="75" max="75" width="23.42578125" style="56" customWidth="1"/>
    <col min="76" max="76" width="35.5703125" style="56" customWidth="1"/>
    <col min="77" max="77" width="28.42578125" style="56" customWidth="1"/>
    <col min="78" max="78" width="38.7109375" style="56" customWidth="1"/>
    <col min="79" max="16384" width="12.5703125" style="56"/>
  </cols>
  <sheetData>
    <row r="1" spans="1:78" x14ac:dyDescent="0.2">
      <c r="A1" s="55" t="s">
        <v>17</v>
      </c>
      <c r="B1" s="55" t="s">
        <v>204</v>
      </c>
      <c r="C1" s="55" t="s">
        <v>206</v>
      </c>
      <c r="D1" s="55" t="s">
        <v>309</v>
      </c>
      <c r="E1" s="55" t="s">
        <v>310</v>
      </c>
      <c r="F1" s="55" t="s">
        <v>154</v>
      </c>
      <c r="G1" s="55" t="s">
        <v>155</v>
      </c>
      <c r="H1" s="55" t="s">
        <v>246</v>
      </c>
      <c r="I1" s="55" t="s">
        <v>247</v>
      </c>
      <c r="J1" s="55" t="s">
        <v>249</v>
      </c>
      <c r="K1" s="55" t="s">
        <v>248</v>
      </c>
      <c r="L1" s="55" t="s">
        <v>250</v>
      </c>
      <c r="M1" s="55" t="s">
        <v>251</v>
      </c>
      <c r="N1" s="55" t="s">
        <v>8</v>
      </c>
      <c r="O1" s="55" t="s">
        <v>252</v>
      </c>
      <c r="P1" s="55" t="s">
        <v>253</v>
      </c>
      <c r="Q1" s="55" t="s">
        <v>209</v>
      </c>
      <c r="R1" s="55" t="s">
        <v>210</v>
      </c>
      <c r="S1" s="55" t="s">
        <v>212</v>
      </c>
      <c r="T1" s="55" t="s">
        <v>214</v>
      </c>
      <c r="U1" s="55" t="s">
        <v>254</v>
      </c>
      <c r="V1" s="55" t="s">
        <v>255</v>
      </c>
      <c r="W1" s="55" t="s">
        <v>256</v>
      </c>
      <c r="X1" s="55" t="s">
        <v>257</v>
      </c>
      <c r="Y1" s="55" t="s">
        <v>282</v>
      </c>
      <c r="Z1" s="55" t="s">
        <v>284</v>
      </c>
      <c r="AA1" s="55" t="s">
        <v>288</v>
      </c>
      <c r="AB1" s="55" t="s">
        <v>285</v>
      </c>
      <c r="AC1" s="55" t="s">
        <v>258</v>
      </c>
      <c r="AD1" s="55" t="s">
        <v>259</v>
      </c>
      <c r="AE1" s="55" t="s">
        <v>260</v>
      </c>
      <c r="AF1" s="55" t="s">
        <v>261</v>
      </c>
      <c r="AG1" s="55" t="s">
        <v>262</v>
      </c>
      <c r="AH1" s="55" t="s">
        <v>263</v>
      </c>
      <c r="AI1" s="55" t="s">
        <v>311</v>
      </c>
      <c r="AJ1" s="55" t="s">
        <v>264</v>
      </c>
      <c r="AK1" s="55" t="s">
        <v>220</v>
      </c>
      <c r="AL1" s="55" t="s">
        <v>265</v>
      </c>
      <c r="AM1" s="55" t="s">
        <v>266</v>
      </c>
      <c r="AN1" s="55" t="s">
        <v>267</v>
      </c>
      <c r="AO1" s="55" t="s">
        <v>268</v>
      </c>
      <c r="AP1" s="55" t="s">
        <v>269</v>
      </c>
      <c r="AQ1" s="55" t="s">
        <v>270</v>
      </c>
      <c r="AR1" s="55" t="s">
        <v>271</v>
      </c>
      <c r="AS1" s="55" t="s">
        <v>272</v>
      </c>
      <c r="AT1" s="55" t="s">
        <v>273</v>
      </c>
      <c r="AU1" s="55" t="s">
        <v>274</v>
      </c>
      <c r="AV1" s="55" t="s">
        <v>275</v>
      </c>
      <c r="AW1" s="55" t="s">
        <v>276</v>
      </c>
      <c r="AX1" s="55" t="s">
        <v>277</v>
      </c>
      <c r="AY1" s="55" t="s">
        <v>278</v>
      </c>
      <c r="AZ1" s="55" t="s">
        <v>279</v>
      </c>
      <c r="BA1" s="55" t="s">
        <v>280</v>
      </c>
      <c r="BB1" s="55" t="s">
        <v>281</v>
      </c>
      <c r="BC1" s="55" t="s">
        <v>283</v>
      </c>
      <c r="BD1" s="55" t="s">
        <v>286</v>
      </c>
      <c r="BE1" s="55" t="s">
        <v>289</v>
      </c>
      <c r="BF1" s="55" t="s">
        <v>287</v>
      </c>
      <c r="BG1" s="55" t="s">
        <v>290</v>
      </c>
      <c r="BH1" s="55" t="s">
        <v>293</v>
      </c>
      <c r="BI1" s="55" t="s">
        <v>294</v>
      </c>
      <c r="BJ1" s="55" t="s">
        <v>295</v>
      </c>
      <c r="BK1" s="55" t="s">
        <v>291</v>
      </c>
      <c r="BL1" s="55" t="s">
        <v>292</v>
      </c>
      <c r="BM1" s="55" t="s">
        <v>312</v>
      </c>
      <c r="BN1" s="55" t="s">
        <v>296</v>
      </c>
      <c r="BO1" s="55" t="s">
        <v>227</v>
      </c>
      <c r="BP1" s="55" t="s">
        <v>297</v>
      </c>
      <c r="BQ1" s="55" t="s">
        <v>298</v>
      </c>
      <c r="BR1" s="55" t="s">
        <v>299</v>
      </c>
      <c r="BS1" s="55" t="s">
        <v>300</v>
      </c>
      <c r="BT1" s="55" t="s">
        <v>301</v>
      </c>
      <c r="BU1" s="55" t="s">
        <v>302</v>
      </c>
      <c r="BV1" s="55" t="s">
        <v>303</v>
      </c>
      <c r="BW1" s="55" t="s">
        <v>304</v>
      </c>
      <c r="BX1" s="55" t="s">
        <v>305</v>
      </c>
      <c r="BY1" s="55" t="s">
        <v>306</v>
      </c>
      <c r="BZ1" s="55" t="s">
        <v>307</v>
      </c>
    </row>
    <row r="2" spans="1:78" ht="89.25" x14ac:dyDescent="0.2">
      <c r="A2" s="57" t="s">
        <v>116</v>
      </c>
      <c r="B2" s="57" t="s">
        <v>115</v>
      </c>
      <c r="C2" s="57"/>
      <c r="D2" s="59" t="str">
        <f>Table_ToolRecords[[#This Row],[Equip_No]]</f>
        <v>T221772</v>
      </c>
      <c r="E2" s="59" t="str">
        <f>Table_ToolRecords[[#This Row],[Equip_Name]]</f>
        <v>UV-2450 single monochromator UV-VIS Spectrometer</v>
      </c>
      <c r="F2" s="57" t="s">
        <v>117</v>
      </c>
      <c r="G2" s="57"/>
      <c r="H2" s="57" t="s">
        <v>118</v>
      </c>
      <c r="I2" s="57" t="s">
        <v>119</v>
      </c>
      <c r="J2" s="57" t="s">
        <v>120</v>
      </c>
      <c r="K2" s="57" t="s">
        <v>31</v>
      </c>
      <c r="L2" s="57" t="b">
        <v>0</v>
      </c>
      <c r="M2" s="57" t="b">
        <v>1</v>
      </c>
      <c r="N2" s="57" t="s">
        <v>114</v>
      </c>
      <c r="O2" s="57" t="b">
        <v>1</v>
      </c>
      <c r="P2" s="57" t="b">
        <v>0</v>
      </c>
      <c r="Q2" s="57" t="s">
        <v>114</v>
      </c>
      <c r="R2" s="57">
        <v>40764</v>
      </c>
      <c r="S2" s="57">
        <v>221775</v>
      </c>
      <c r="T2" s="57" t="s">
        <v>121</v>
      </c>
      <c r="U2" s="57"/>
      <c r="V2" s="57"/>
      <c r="W2" s="57"/>
      <c r="X2" s="57"/>
      <c r="Y2" s="57"/>
      <c r="Z2" s="57" t="b">
        <v>0</v>
      </c>
      <c r="AA2" s="57" t="s">
        <v>1</v>
      </c>
      <c r="AB2" s="57" t="b">
        <v>0</v>
      </c>
      <c r="AC2" s="57"/>
      <c r="AD2" s="57" t="b">
        <v>0</v>
      </c>
      <c r="AE2" s="57" t="b">
        <v>0</v>
      </c>
      <c r="AF2" s="57" t="b">
        <v>0</v>
      </c>
      <c r="AG2" s="57" t="b">
        <v>1</v>
      </c>
      <c r="AH2" s="57" t="s">
        <v>122</v>
      </c>
      <c r="AI2" s="57"/>
      <c r="AJ2" s="57" t="s">
        <v>1</v>
      </c>
      <c r="AK2" s="57" t="s">
        <v>114</v>
      </c>
      <c r="AL2" s="57"/>
      <c r="AM2" s="57"/>
      <c r="AN2" s="57"/>
      <c r="AO2" s="57"/>
      <c r="AP2" s="57"/>
      <c r="AQ2" s="57"/>
      <c r="AR2" s="57"/>
      <c r="AS2" s="57"/>
      <c r="AT2" s="57"/>
      <c r="AU2" s="57"/>
      <c r="AV2" s="57" t="b">
        <v>1</v>
      </c>
      <c r="AW2" s="57" t="b">
        <v>0</v>
      </c>
      <c r="AX2" s="57" t="b">
        <v>0</v>
      </c>
      <c r="AY2" s="57" t="b">
        <v>0</v>
      </c>
      <c r="AZ2" s="57" t="s">
        <v>1</v>
      </c>
      <c r="BA2" s="57" t="b">
        <v>0</v>
      </c>
      <c r="BB2" s="57" t="s">
        <v>1</v>
      </c>
      <c r="BC2" s="57"/>
      <c r="BD2" s="57" t="b">
        <v>1</v>
      </c>
      <c r="BE2" s="57" t="s">
        <v>123</v>
      </c>
      <c r="BF2" s="57" t="b">
        <v>0</v>
      </c>
      <c r="BG2" s="57"/>
      <c r="BH2" s="57" t="b">
        <v>0</v>
      </c>
      <c r="BI2" s="57" t="b">
        <v>0</v>
      </c>
      <c r="BJ2" s="57" t="s">
        <v>1</v>
      </c>
      <c r="BK2" s="57" t="b">
        <v>0</v>
      </c>
      <c r="BL2" s="57" t="s">
        <v>1</v>
      </c>
      <c r="BM2" s="57"/>
      <c r="BN2" s="57" t="s">
        <v>1</v>
      </c>
      <c r="BO2" s="57" t="s">
        <v>114</v>
      </c>
      <c r="BP2" s="57"/>
      <c r="BQ2" s="57"/>
      <c r="BR2" s="57"/>
      <c r="BS2" s="57"/>
      <c r="BT2" s="57"/>
      <c r="BU2" s="57"/>
      <c r="BV2" s="57"/>
      <c r="BW2" s="57"/>
      <c r="BX2" s="57"/>
      <c r="BY2" s="57"/>
      <c r="BZ2" s="57"/>
    </row>
    <row r="3" spans="1:78" ht="89.25" x14ac:dyDescent="0.2">
      <c r="A3" s="57" t="s">
        <v>98</v>
      </c>
      <c r="B3" s="57" t="s">
        <v>97</v>
      </c>
      <c r="C3" s="57"/>
      <c r="D3" s="59" t="str">
        <f>Table_ToolRecords[[#This Row],[Equip_No]]</f>
        <v>T145948</v>
      </c>
      <c r="E3" s="59" t="str">
        <f>Table_ToolRecords[[#This Row],[Equip_Name]]</f>
        <v>Heat Sealing Machine, Medipacker TS 3535</v>
      </c>
      <c r="F3" s="57" t="s">
        <v>99</v>
      </c>
      <c r="G3" s="57"/>
      <c r="H3" s="57" t="s">
        <v>100</v>
      </c>
      <c r="I3" s="57" t="s">
        <v>101</v>
      </c>
      <c r="J3" s="57">
        <v>164151</v>
      </c>
      <c r="K3" s="57">
        <v>4979</v>
      </c>
      <c r="L3" s="57" t="b">
        <v>1</v>
      </c>
      <c r="M3" s="57" t="b">
        <v>0</v>
      </c>
      <c r="N3" s="57" t="s">
        <v>114</v>
      </c>
      <c r="O3" s="57" t="b">
        <v>1</v>
      </c>
      <c r="P3" s="57" t="b">
        <v>0</v>
      </c>
      <c r="Q3" s="57" t="s">
        <v>114</v>
      </c>
      <c r="R3" s="57"/>
      <c r="S3" s="57"/>
      <c r="T3" s="57"/>
      <c r="U3" s="57"/>
      <c r="V3" s="57"/>
      <c r="W3" s="57"/>
      <c r="X3" s="57"/>
      <c r="Y3" s="57"/>
      <c r="Z3" s="57" t="b">
        <v>1</v>
      </c>
      <c r="AA3" s="57" t="s">
        <v>100</v>
      </c>
      <c r="AB3" s="57" t="b">
        <v>0</v>
      </c>
      <c r="AC3" s="57"/>
      <c r="AD3" s="57" t="b">
        <v>0</v>
      </c>
      <c r="AE3" s="57" t="b">
        <v>0</v>
      </c>
      <c r="AF3" s="57" t="b">
        <v>0</v>
      </c>
      <c r="AG3" s="57" t="b">
        <v>0</v>
      </c>
      <c r="AH3" s="57" t="s">
        <v>1</v>
      </c>
      <c r="AI3" s="57"/>
      <c r="AJ3" s="57" t="s">
        <v>1</v>
      </c>
      <c r="AK3" s="57" t="s">
        <v>114</v>
      </c>
      <c r="AL3" s="57"/>
      <c r="AM3" s="57"/>
      <c r="AN3" s="57"/>
      <c r="AO3" s="57"/>
      <c r="AP3" s="57"/>
      <c r="AQ3" s="57"/>
      <c r="AR3" s="57"/>
      <c r="AS3" s="57"/>
      <c r="AT3" s="57"/>
      <c r="AU3" s="57"/>
      <c r="AV3" s="57" t="b">
        <v>0</v>
      </c>
      <c r="AW3" s="57" t="b">
        <v>0</v>
      </c>
      <c r="AX3" s="57" t="b">
        <v>0</v>
      </c>
      <c r="AY3" s="57" t="b">
        <v>1</v>
      </c>
      <c r="AZ3" s="57" t="s">
        <v>127</v>
      </c>
      <c r="BA3" s="57" t="b">
        <v>0</v>
      </c>
      <c r="BB3" s="57" t="s">
        <v>1</v>
      </c>
      <c r="BC3" s="57"/>
      <c r="BD3" s="57" t="b">
        <v>0</v>
      </c>
      <c r="BE3" s="57" t="s">
        <v>1</v>
      </c>
      <c r="BF3" s="57" t="b">
        <v>1</v>
      </c>
      <c r="BG3" s="57"/>
      <c r="BH3" s="57" t="b">
        <v>0</v>
      </c>
      <c r="BI3" s="57" t="b">
        <v>0</v>
      </c>
      <c r="BJ3" s="57" t="s">
        <v>1</v>
      </c>
      <c r="BK3" s="57" t="b">
        <v>0</v>
      </c>
      <c r="BL3" s="57" t="s">
        <v>1</v>
      </c>
      <c r="BM3" s="57"/>
      <c r="BN3" s="57" t="s">
        <v>103</v>
      </c>
      <c r="BO3" s="57" t="s">
        <v>114</v>
      </c>
      <c r="BP3" s="57"/>
      <c r="BQ3" s="57"/>
      <c r="BR3" s="57"/>
      <c r="BS3" s="57"/>
      <c r="BT3" s="57"/>
      <c r="BU3" s="57"/>
      <c r="BV3" s="57"/>
      <c r="BW3" s="57"/>
      <c r="BX3" s="57"/>
      <c r="BY3" s="57"/>
      <c r="BZ3" s="57"/>
    </row>
    <row r="4" spans="1:78" ht="51" x14ac:dyDescent="0.2">
      <c r="A4" s="57" t="s">
        <v>27</v>
      </c>
      <c r="B4" s="57" t="s">
        <v>26</v>
      </c>
      <c r="C4" s="57"/>
      <c r="D4" s="59" t="str">
        <f>Table_ToolRecords[[#This Row],[Equip_No]]</f>
        <v>T331418</v>
      </c>
      <c r="E4" s="59" t="str">
        <f>Table_ToolRecords[[#This Row],[Equip_Name]]</f>
        <v>Analytical Balance</v>
      </c>
      <c r="F4" s="57" t="s">
        <v>28</v>
      </c>
      <c r="G4" s="57"/>
      <c r="H4" s="57" t="s">
        <v>29</v>
      </c>
      <c r="I4" s="57" t="s">
        <v>30</v>
      </c>
      <c r="J4" s="57">
        <v>331423</v>
      </c>
      <c r="K4" s="57" t="s">
        <v>31</v>
      </c>
      <c r="L4" s="57" t="b">
        <v>1</v>
      </c>
      <c r="M4" s="57" t="b">
        <v>0</v>
      </c>
      <c r="N4" s="57" t="s">
        <v>114</v>
      </c>
      <c r="O4" s="57" t="b">
        <v>0</v>
      </c>
      <c r="P4" s="57" t="b">
        <v>1</v>
      </c>
      <c r="Q4" s="57" t="s">
        <v>114</v>
      </c>
      <c r="R4" s="57" t="s">
        <v>32</v>
      </c>
      <c r="S4" s="57">
        <v>331419</v>
      </c>
      <c r="T4" s="57">
        <v>1</v>
      </c>
      <c r="U4" s="57"/>
      <c r="V4" s="57"/>
      <c r="W4" s="57"/>
      <c r="X4" s="57"/>
      <c r="Y4" s="57"/>
      <c r="Z4" s="57" t="b">
        <v>1</v>
      </c>
      <c r="AA4" s="57" t="s">
        <v>33</v>
      </c>
      <c r="AB4" s="57" t="b">
        <v>1</v>
      </c>
      <c r="AC4" s="57"/>
      <c r="AD4" s="57" t="b">
        <v>0</v>
      </c>
      <c r="AE4" s="57" t="b">
        <v>0</v>
      </c>
      <c r="AF4" s="57" t="b">
        <v>0</v>
      </c>
      <c r="AG4" s="57" t="b">
        <v>0</v>
      </c>
      <c r="AH4" s="57" t="s">
        <v>1</v>
      </c>
      <c r="AI4" s="57"/>
      <c r="AJ4" s="57" t="s">
        <v>1</v>
      </c>
      <c r="AK4" s="57" t="s">
        <v>114</v>
      </c>
      <c r="AL4" s="57"/>
      <c r="AM4" s="57"/>
      <c r="AN4" s="57"/>
      <c r="AO4" s="57"/>
      <c r="AP4" s="57"/>
      <c r="AQ4" s="57"/>
      <c r="AR4" s="57"/>
      <c r="AS4" s="57"/>
      <c r="AT4" s="57"/>
      <c r="AU4" s="57"/>
      <c r="AV4" s="57" t="b">
        <v>0</v>
      </c>
      <c r="AW4" s="57" t="b">
        <v>0</v>
      </c>
      <c r="AX4" s="57" t="b">
        <v>0</v>
      </c>
      <c r="AY4" s="57" t="b">
        <v>1</v>
      </c>
      <c r="AZ4" s="57" t="s">
        <v>34</v>
      </c>
      <c r="BA4" s="57" t="b">
        <v>0</v>
      </c>
      <c r="BB4" s="57" t="s">
        <v>1</v>
      </c>
      <c r="BC4" s="57"/>
      <c r="BD4" s="57" t="b">
        <v>0</v>
      </c>
      <c r="BE4" s="57" t="s">
        <v>1</v>
      </c>
      <c r="BF4" s="57" t="b">
        <v>0</v>
      </c>
      <c r="BG4" s="57"/>
      <c r="BH4" s="57" t="b">
        <v>0</v>
      </c>
      <c r="BI4" s="57" t="b">
        <v>0</v>
      </c>
      <c r="BJ4" s="57" t="s">
        <v>1</v>
      </c>
      <c r="BK4" s="57" t="b">
        <v>1</v>
      </c>
      <c r="BL4" s="57" t="s">
        <v>35</v>
      </c>
      <c r="BM4" s="57"/>
      <c r="BN4" s="57" t="s">
        <v>1</v>
      </c>
      <c r="BO4" s="57" t="s">
        <v>114</v>
      </c>
      <c r="BP4" s="57"/>
      <c r="BQ4" s="57"/>
      <c r="BR4" s="57"/>
      <c r="BS4" s="57"/>
      <c r="BT4" s="57"/>
      <c r="BU4" s="57"/>
      <c r="BV4" s="57"/>
      <c r="BW4" s="57"/>
      <c r="BX4" s="57"/>
      <c r="BY4" s="57"/>
      <c r="BZ4" s="57"/>
    </row>
    <row r="5" spans="1:78" ht="38.25" x14ac:dyDescent="0.2">
      <c r="A5" s="57" t="s">
        <v>172</v>
      </c>
      <c r="B5" s="57" t="s">
        <v>171</v>
      </c>
      <c r="C5" s="57"/>
      <c r="D5" s="59" t="str">
        <f>Table_ToolRecords[[#This Row],[Equip_No]]</f>
        <v>T50910</v>
      </c>
      <c r="E5" s="59" t="str">
        <f>Table_ToolRecords[[#This Row],[Equip_Name]]</f>
        <v>De-Binding Oven</v>
      </c>
      <c r="F5" s="57" t="s">
        <v>173</v>
      </c>
      <c r="G5" s="57"/>
      <c r="H5" s="57" t="s">
        <v>174</v>
      </c>
      <c r="I5" s="57" t="s">
        <v>175</v>
      </c>
      <c r="J5" s="57">
        <v>201417</v>
      </c>
      <c r="K5" s="57" t="s">
        <v>176</v>
      </c>
      <c r="L5" s="57" t="b">
        <v>0</v>
      </c>
      <c r="M5" s="57" t="b">
        <v>1</v>
      </c>
      <c r="N5" s="57" t="s">
        <v>114</v>
      </c>
      <c r="O5" s="57" t="b">
        <v>1</v>
      </c>
      <c r="P5" s="57" t="b">
        <v>0</v>
      </c>
      <c r="Q5" s="57" t="s">
        <v>114</v>
      </c>
      <c r="R5" s="57">
        <v>40826</v>
      </c>
      <c r="S5" s="57">
        <v>201417</v>
      </c>
      <c r="T5" s="57">
        <v>7</v>
      </c>
      <c r="U5" s="57"/>
      <c r="V5" s="57"/>
      <c r="W5" s="57"/>
      <c r="X5" s="57"/>
      <c r="Y5" s="57"/>
      <c r="Z5" s="57" t="b">
        <v>0</v>
      </c>
      <c r="AA5" s="57" t="s">
        <v>1</v>
      </c>
      <c r="AB5" s="57" t="b">
        <v>0</v>
      </c>
      <c r="AC5" s="57"/>
      <c r="AD5" s="57" t="b">
        <v>0</v>
      </c>
      <c r="AE5" s="57" t="b">
        <v>0</v>
      </c>
      <c r="AF5" s="57" t="b">
        <v>0</v>
      </c>
      <c r="AG5" s="57" t="b">
        <v>1</v>
      </c>
      <c r="AH5" s="57" t="s">
        <v>177</v>
      </c>
      <c r="AI5" s="57"/>
      <c r="AJ5" s="57" t="s">
        <v>1</v>
      </c>
      <c r="AK5" s="57" t="s">
        <v>114</v>
      </c>
      <c r="AL5" s="57"/>
      <c r="AM5" s="57"/>
      <c r="AN5" s="57"/>
      <c r="AO5" s="57"/>
      <c r="AP5" s="57"/>
      <c r="AQ5" s="57"/>
      <c r="AR5" s="57"/>
      <c r="AS5" s="57"/>
      <c r="AT5" s="57"/>
      <c r="AU5" s="57"/>
      <c r="AV5" s="57" t="b">
        <v>1</v>
      </c>
      <c r="AW5" s="57" t="b">
        <v>0</v>
      </c>
      <c r="AX5" s="57" t="b">
        <v>0</v>
      </c>
      <c r="AY5" s="57" t="b">
        <v>0</v>
      </c>
      <c r="AZ5" s="57" t="s">
        <v>1</v>
      </c>
      <c r="BA5" s="57" t="b">
        <v>0</v>
      </c>
      <c r="BB5" s="57" t="s">
        <v>1</v>
      </c>
      <c r="BC5" s="57"/>
      <c r="BD5" s="57" t="b">
        <v>0</v>
      </c>
      <c r="BE5" s="57" t="s">
        <v>1</v>
      </c>
      <c r="BF5" s="57" t="b">
        <v>1</v>
      </c>
      <c r="BG5" s="57"/>
      <c r="BH5" s="57" t="b">
        <v>0</v>
      </c>
      <c r="BI5" s="57" t="b">
        <v>0</v>
      </c>
      <c r="BJ5" s="57" t="s">
        <v>1</v>
      </c>
      <c r="BK5" s="57" t="b">
        <v>0</v>
      </c>
      <c r="BL5" s="57" t="s">
        <v>1</v>
      </c>
      <c r="BM5" s="57"/>
      <c r="BN5" s="57" t="s">
        <v>1</v>
      </c>
      <c r="BO5" s="57" t="s">
        <v>114</v>
      </c>
      <c r="BP5" s="57"/>
      <c r="BQ5" s="57"/>
      <c r="BR5" s="57"/>
      <c r="BS5" s="57"/>
      <c r="BT5" s="57"/>
      <c r="BU5" s="57"/>
      <c r="BV5" s="57"/>
      <c r="BW5" s="57"/>
      <c r="BX5" s="57"/>
      <c r="BY5" s="57"/>
      <c r="BZ5" s="57"/>
    </row>
    <row r="6" spans="1:78" ht="76.5" x14ac:dyDescent="0.2">
      <c r="A6" s="57" t="s">
        <v>194</v>
      </c>
      <c r="B6" s="57" t="s">
        <v>193</v>
      </c>
      <c r="C6" s="57"/>
      <c r="D6" s="59" t="str">
        <f>Table_ToolRecords[[#This Row],[Equip_No]]</f>
        <v>T95078</v>
      </c>
      <c r="E6" s="59" t="str">
        <f>Table_ToolRecords[[#This Row],[Equip_Name]]</f>
        <v>Digital Caliper</v>
      </c>
      <c r="F6" s="57" t="s">
        <v>195</v>
      </c>
      <c r="G6" s="57"/>
      <c r="H6" s="57" t="s">
        <v>196</v>
      </c>
      <c r="I6" s="57" t="s">
        <v>197</v>
      </c>
      <c r="J6" s="57" t="s">
        <v>31</v>
      </c>
      <c r="K6" s="57" t="s">
        <v>31</v>
      </c>
      <c r="L6" s="57" t="b">
        <v>1</v>
      </c>
      <c r="M6" s="57" t="b">
        <v>0</v>
      </c>
      <c r="N6" s="57" t="s">
        <v>114</v>
      </c>
      <c r="O6" s="57" t="b">
        <v>0</v>
      </c>
      <c r="P6" s="57" t="b">
        <v>1</v>
      </c>
      <c r="Q6" s="57" t="s">
        <v>114</v>
      </c>
      <c r="R6" s="57">
        <v>40580</v>
      </c>
      <c r="S6" s="57">
        <v>201739</v>
      </c>
      <c r="T6" s="57">
        <v>21</v>
      </c>
      <c r="U6" s="57"/>
      <c r="V6" s="57"/>
      <c r="W6" s="57"/>
      <c r="X6" s="57"/>
      <c r="Y6" s="57"/>
      <c r="Z6" s="57" t="b">
        <v>1</v>
      </c>
      <c r="AA6" s="57" t="s">
        <v>198</v>
      </c>
      <c r="AB6" s="57" t="b">
        <v>0</v>
      </c>
      <c r="AC6" s="57"/>
      <c r="AD6" s="57" t="b">
        <v>0</v>
      </c>
      <c r="AE6" s="57" t="b">
        <v>0</v>
      </c>
      <c r="AF6" s="57" t="b">
        <v>0</v>
      </c>
      <c r="AG6" s="57" t="b">
        <v>0</v>
      </c>
      <c r="AH6" s="57" t="s">
        <v>1</v>
      </c>
      <c r="AI6" s="57"/>
      <c r="AJ6" s="57" t="s">
        <v>1</v>
      </c>
      <c r="AK6" s="57" t="s">
        <v>114</v>
      </c>
      <c r="AL6" s="57"/>
      <c r="AM6" s="57"/>
      <c r="AN6" s="57"/>
      <c r="AO6" s="57"/>
      <c r="AP6" s="57"/>
      <c r="AQ6" s="57"/>
      <c r="AR6" s="57"/>
      <c r="AS6" s="57"/>
      <c r="AT6" s="57"/>
      <c r="AU6" s="57"/>
      <c r="AV6" s="57" t="b">
        <v>0</v>
      </c>
      <c r="AW6" s="57" t="b">
        <v>0</v>
      </c>
      <c r="AX6" s="57" t="b">
        <v>1</v>
      </c>
      <c r="AY6" s="57" t="b">
        <v>0</v>
      </c>
      <c r="AZ6" s="57" t="s">
        <v>1</v>
      </c>
      <c r="BA6" s="57" t="b">
        <v>0</v>
      </c>
      <c r="BB6" s="57" t="s">
        <v>1</v>
      </c>
      <c r="BC6" s="57"/>
      <c r="BD6" s="57" t="b">
        <v>0</v>
      </c>
      <c r="BE6" s="57" t="s">
        <v>1</v>
      </c>
      <c r="BF6" s="57" t="b">
        <v>0</v>
      </c>
      <c r="BG6" s="57"/>
      <c r="BH6" s="57" t="b">
        <v>1</v>
      </c>
      <c r="BI6" s="57" t="b">
        <v>0</v>
      </c>
      <c r="BJ6" s="57" t="s">
        <v>1</v>
      </c>
      <c r="BK6" s="57" t="b">
        <v>0</v>
      </c>
      <c r="BL6" s="57" t="s">
        <v>1</v>
      </c>
      <c r="BM6" s="57"/>
      <c r="BN6" s="57" t="s">
        <v>1</v>
      </c>
      <c r="BO6" s="57" t="s">
        <v>114</v>
      </c>
      <c r="BP6" s="57"/>
      <c r="BQ6" s="57"/>
      <c r="BR6" s="57"/>
      <c r="BS6" s="57"/>
      <c r="BT6" s="57"/>
      <c r="BU6" s="57"/>
      <c r="BV6" s="57"/>
      <c r="BW6" s="57"/>
      <c r="BX6" s="57"/>
      <c r="BY6" s="57"/>
      <c r="BZ6" s="57"/>
    </row>
    <row r="7" spans="1:78" ht="51" x14ac:dyDescent="0.2">
      <c r="A7" s="57" t="s">
        <v>316</v>
      </c>
      <c r="B7" s="57" t="s">
        <v>315</v>
      </c>
      <c r="C7" s="57"/>
      <c r="D7" s="59" t="str">
        <f>Table_ToolRecords[[#This Row],[Equip_No]]</f>
        <v>T178684</v>
      </c>
      <c r="E7" s="59" t="str">
        <f>Table_ToolRecords[[#This Row],[Equip_Name]]</f>
        <v>Hardball Ablation Jig</v>
      </c>
      <c r="F7" s="57" t="s">
        <v>317</v>
      </c>
      <c r="G7" s="57"/>
      <c r="H7" s="57" t="s">
        <v>318</v>
      </c>
      <c r="I7" s="57" t="s">
        <v>319</v>
      </c>
      <c r="J7" s="57" t="s">
        <v>31</v>
      </c>
      <c r="K7" s="57" t="s">
        <v>31</v>
      </c>
      <c r="L7" s="57" t="s">
        <v>322</v>
      </c>
      <c r="M7" s="57" t="s">
        <v>323</v>
      </c>
      <c r="N7" s="57" t="s">
        <v>114</v>
      </c>
      <c r="O7" s="57" t="s">
        <v>322</v>
      </c>
      <c r="P7" s="57" t="s">
        <v>323</v>
      </c>
      <c r="Q7" s="57" t="s">
        <v>114</v>
      </c>
      <c r="R7" s="57"/>
      <c r="S7" s="57"/>
      <c r="T7" s="57"/>
      <c r="U7" s="57"/>
      <c r="V7" s="57"/>
      <c r="W7" s="57"/>
      <c r="X7" s="57"/>
      <c r="Y7" s="57"/>
      <c r="Z7" s="57" t="s">
        <v>322</v>
      </c>
      <c r="AA7" s="57" t="s">
        <v>1</v>
      </c>
      <c r="AB7" s="57" t="s">
        <v>322</v>
      </c>
      <c r="AC7" s="57"/>
      <c r="AD7" s="57" t="s">
        <v>322</v>
      </c>
      <c r="AE7" s="57" t="s">
        <v>322</v>
      </c>
      <c r="AF7" s="57" t="s">
        <v>323</v>
      </c>
      <c r="AG7" s="57" t="s">
        <v>323</v>
      </c>
      <c r="AH7" s="57" t="s">
        <v>320</v>
      </c>
      <c r="AI7" s="57"/>
      <c r="AJ7" s="57" t="s">
        <v>1</v>
      </c>
      <c r="AK7" s="57" t="s">
        <v>114</v>
      </c>
      <c r="AL7" s="57"/>
      <c r="AM7" s="57"/>
      <c r="AN7" s="57"/>
      <c r="AO7" s="57"/>
      <c r="AP7" s="57"/>
      <c r="AQ7" s="57"/>
      <c r="AR7" s="57"/>
      <c r="AS7" s="57"/>
      <c r="AT7" s="57"/>
      <c r="AU7" s="57"/>
      <c r="AV7" s="57" t="s">
        <v>323</v>
      </c>
      <c r="AW7" s="57" t="s">
        <v>322</v>
      </c>
      <c r="AX7" s="57" t="s">
        <v>322</v>
      </c>
      <c r="AY7" s="57" t="s">
        <v>322</v>
      </c>
      <c r="AZ7" s="57" t="s">
        <v>1</v>
      </c>
      <c r="BA7" s="57" t="s">
        <v>322</v>
      </c>
      <c r="BB7" s="57" t="s">
        <v>1</v>
      </c>
      <c r="BC7" s="57"/>
      <c r="BD7" s="57" t="s">
        <v>322</v>
      </c>
      <c r="BE7" s="57" t="s">
        <v>1</v>
      </c>
      <c r="BF7" s="57" t="s">
        <v>322</v>
      </c>
      <c r="BG7" s="57"/>
      <c r="BH7" s="57" t="s">
        <v>323</v>
      </c>
      <c r="BI7" s="57" t="s">
        <v>322</v>
      </c>
      <c r="BJ7" s="57" t="s">
        <v>1</v>
      </c>
      <c r="BK7" s="57" t="s">
        <v>322</v>
      </c>
      <c r="BL7" s="57" t="s">
        <v>1</v>
      </c>
      <c r="BM7" s="57"/>
      <c r="BN7" s="57" t="s">
        <v>1</v>
      </c>
      <c r="BO7" s="57" t="s">
        <v>114</v>
      </c>
      <c r="BP7" s="57"/>
      <c r="BQ7" s="57"/>
      <c r="BR7" s="57"/>
      <c r="BS7" s="57"/>
      <c r="BT7" s="57"/>
      <c r="BU7" s="57"/>
      <c r="BV7" s="57"/>
      <c r="BW7" s="57"/>
      <c r="BX7" s="57"/>
      <c r="BY7" s="57"/>
      <c r="BZ7" s="57"/>
    </row>
    <row r="8" spans="1:78" ht="51" x14ac:dyDescent="0.2">
      <c r="A8" s="57" t="s">
        <v>325</v>
      </c>
      <c r="B8" s="57" t="s">
        <v>324</v>
      </c>
      <c r="C8" s="57"/>
      <c r="D8" s="59" t="str">
        <f>Table_ToolRecords[[#This Row],[Equip_No]]</f>
        <v>T50961</v>
      </c>
      <c r="E8" s="59" t="str">
        <f>Table_ToolRecords[[#This Row],[Equip_Name]]</f>
        <v>Eurotherm Digital Chart Recorder</v>
      </c>
      <c r="F8" s="57" t="s">
        <v>326</v>
      </c>
      <c r="G8" s="57"/>
      <c r="H8" s="57" t="s">
        <v>327</v>
      </c>
      <c r="I8" s="57" t="s">
        <v>328</v>
      </c>
      <c r="J8" s="57">
        <v>280115</v>
      </c>
      <c r="K8" s="57">
        <v>2647</v>
      </c>
      <c r="L8" s="57" t="s">
        <v>323</v>
      </c>
      <c r="M8" s="57" t="s">
        <v>322</v>
      </c>
      <c r="N8" s="57" t="s">
        <v>114</v>
      </c>
      <c r="O8" s="57" t="s">
        <v>323</v>
      </c>
      <c r="P8" s="57" t="s">
        <v>322</v>
      </c>
      <c r="Q8" s="57" t="s">
        <v>114</v>
      </c>
      <c r="R8" s="57" t="s">
        <v>329</v>
      </c>
      <c r="S8" s="57">
        <v>201431</v>
      </c>
      <c r="T8" s="57">
        <v>6</v>
      </c>
      <c r="U8" s="57"/>
      <c r="V8" s="57"/>
      <c r="W8" s="57"/>
      <c r="X8" s="57"/>
      <c r="Y8" s="57"/>
      <c r="Z8" s="57" t="s">
        <v>323</v>
      </c>
      <c r="AA8" s="57" t="s">
        <v>327</v>
      </c>
      <c r="AB8" s="57" t="s">
        <v>323</v>
      </c>
      <c r="AC8" s="57"/>
      <c r="AD8" s="57" t="s">
        <v>322</v>
      </c>
      <c r="AE8" s="57" t="s">
        <v>322</v>
      </c>
      <c r="AF8" s="57" t="s">
        <v>322</v>
      </c>
      <c r="AG8" s="57" t="s">
        <v>322</v>
      </c>
      <c r="AH8" s="57" t="s">
        <v>1</v>
      </c>
      <c r="AI8" s="57"/>
      <c r="AJ8" s="57" t="s">
        <v>1</v>
      </c>
      <c r="AK8" s="57" t="s">
        <v>114</v>
      </c>
      <c r="AL8" s="57"/>
      <c r="AM8" s="57"/>
      <c r="AN8" s="57"/>
      <c r="AO8" s="57"/>
      <c r="AP8" s="57"/>
      <c r="AQ8" s="57"/>
      <c r="AR8" s="57"/>
      <c r="AS8" s="57"/>
      <c r="AT8" s="57"/>
      <c r="AU8" s="57"/>
      <c r="AV8" s="57" t="s">
        <v>322</v>
      </c>
      <c r="AW8" s="57" t="s">
        <v>322</v>
      </c>
      <c r="AX8" s="57" t="s">
        <v>322</v>
      </c>
      <c r="AY8" s="57" t="s">
        <v>323</v>
      </c>
      <c r="AZ8" s="57" t="s">
        <v>330</v>
      </c>
      <c r="BA8" s="57" t="s">
        <v>322</v>
      </c>
      <c r="BB8" s="57" t="s">
        <v>1</v>
      </c>
      <c r="BC8" s="57"/>
      <c r="BD8" s="57" t="s">
        <v>323</v>
      </c>
      <c r="BE8" s="57" t="s">
        <v>327</v>
      </c>
      <c r="BF8" s="57" t="s">
        <v>323</v>
      </c>
      <c r="BG8" s="57"/>
      <c r="BH8" s="57" t="s">
        <v>322</v>
      </c>
      <c r="BI8" s="57" t="s">
        <v>322</v>
      </c>
      <c r="BJ8" s="57" t="s">
        <v>1</v>
      </c>
      <c r="BK8" s="57" t="s">
        <v>322</v>
      </c>
      <c r="BL8" s="57" t="s">
        <v>1</v>
      </c>
      <c r="BM8" s="57"/>
      <c r="BN8" s="57" t="s">
        <v>1</v>
      </c>
      <c r="BO8" s="57" t="s">
        <v>114</v>
      </c>
      <c r="BP8" s="57"/>
      <c r="BQ8" s="57"/>
      <c r="BR8" s="57"/>
      <c r="BS8" s="57"/>
      <c r="BT8" s="57"/>
      <c r="BU8" s="57"/>
      <c r="BV8" s="57"/>
      <c r="BW8" s="57"/>
      <c r="BX8" s="57"/>
      <c r="BY8" s="57"/>
      <c r="BZ8" s="57"/>
    </row>
    <row r="9" spans="1:78" s="60" customFormat="1" ht="60.75" customHeight="1" x14ac:dyDescent="0.2">
      <c r="A9" s="59" t="s">
        <v>334</v>
      </c>
      <c r="B9" s="59" t="s">
        <v>335</v>
      </c>
      <c r="C9" s="59" t="s">
        <v>336</v>
      </c>
      <c r="D9" s="59" t="str">
        <f>Table_ToolRecords[[#This Row],[Equip_No]]</f>
        <v>T432965</v>
      </c>
      <c r="E9" s="59" t="str">
        <f>Table_ToolRecords[[#This Row],[Equip_Name]]</f>
        <v>Sorting Ring Mould Tool</v>
      </c>
      <c r="F9" s="59" t="s">
        <v>337</v>
      </c>
      <c r="G9" s="59" t="s">
        <v>31</v>
      </c>
      <c r="H9" s="59" t="s">
        <v>337</v>
      </c>
      <c r="I9" s="59" t="s">
        <v>319</v>
      </c>
      <c r="J9" s="59" t="s">
        <v>31</v>
      </c>
      <c r="K9" s="59" t="s">
        <v>31</v>
      </c>
      <c r="L9" s="59" t="s">
        <v>322</v>
      </c>
      <c r="M9" s="59" t="s">
        <v>323</v>
      </c>
      <c r="N9" s="59" t="s">
        <v>114</v>
      </c>
      <c r="O9" s="59" t="s">
        <v>323</v>
      </c>
      <c r="P9" s="59" t="s">
        <v>322</v>
      </c>
      <c r="Q9" s="59" t="s">
        <v>338</v>
      </c>
      <c r="R9" s="57" t="s">
        <v>339</v>
      </c>
      <c r="S9" s="59">
        <v>436315</v>
      </c>
      <c r="T9" s="59">
        <v>1</v>
      </c>
      <c r="U9" s="59"/>
      <c r="V9" s="59" t="s">
        <v>323</v>
      </c>
      <c r="W9" s="59" t="s">
        <v>322</v>
      </c>
      <c r="X9" s="59" t="s">
        <v>31</v>
      </c>
      <c r="Y9" s="59" t="s">
        <v>322</v>
      </c>
      <c r="Z9" s="59" t="s">
        <v>322</v>
      </c>
      <c r="AA9" s="59" t="s">
        <v>31</v>
      </c>
      <c r="AB9" s="59" t="s">
        <v>322</v>
      </c>
      <c r="AC9" s="57" t="s">
        <v>323</v>
      </c>
      <c r="AD9" s="57" t="s">
        <v>323</v>
      </c>
      <c r="AE9" s="59" t="s">
        <v>322</v>
      </c>
      <c r="AF9" s="59" t="s">
        <v>322</v>
      </c>
      <c r="AG9" s="59" t="s">
        <v>322</v>
      </c>
      <c r="AH9" s="59"/>
      <c r="AI9" s="59" t="s">
        <v>31</v>
      </c>
      <c r="AJ9" s="59" t="s">
        <v>31</v>
      </c>
      <c r="AK9" s="59" t="s">
        <v>31</v>
      </c>
      <c r="AL9" s="59" t="s">
        <v>31</v>
      </c>
      <c r="AM9" s="59" t="s">
        <v>322</v>
      </c>
      <c r="AN9" s="59" t="s">
        <v>323</v>
      </c>
      <c r="AO9" s="59" t="s">
        <v>323</v>
      </c>
      <c r="AP9" s="59" t="s">
        <v>323</v>
      </c>
      <c r="AQ9" s="59" t="s">
        <v>322</v>
      </c>
      <c r="AR9" s="59" t="s">
        <v>31</v>
      </c>
      <c r="AS9" s="59"/>
      <c r="AT9" s="59"/>
      <c r="AU9" s="59"/>
      <c r="AV9" s="57" t="s">
        <v>323</v>
      </c>
      <c r="AW9" s="57" t="s">
        <v>322</v>
      </c>
      <c r="AX9" s="57" t="s">
        <v>323</v>
      </c>
      <c r="AY9" s="57" t="s">
        <v>322</v>
      </c>
      <c r="AZ9" s="59" t="s">
        <v>31</v>
      </c>
      <c r="BA9" s="57" t="s">
        <v>323</v>
      </c>
      <c r="BB9" s="59" t="s">
        <v>340</v>
      </c>
      <c r="BC9" s="57" t="s">
        <v>323</v>
      </c>
      <c r="BD9" s="57" t="s">
        <v>323</v>
      </c>
      <c r="BE9" s="59" t="s">
        <v>341</v>
      </c>
      <c r="BF9" s="57" t="s">
        <v>322</v>
      </c>
      <c r="BG9" s="57" t="s">
        <v>322</v>
      </c>
      <c r="BH9" s="57" t="s">
        <v>322</v>
      </c>
      <c r="BI9" s="57" t="s">
        <v>322</v>
      </c>
      <c r="BJ9" s="59" t="s">
        <v>31</v>
      </c>
      <c r="BK9" s="57" t="s">
        <v>322</v>
      </c>
      <c r="BL9" s="59" t="s">
        <v>31</v>
      </c>
      <c r="BM9" s="59" t="s">
        <v>338</v>
      </c>
      <c r="BN9" s="59" t="s">
        <v>31</v>
      </c>
      <c r="BO9" s="59" t="s">
        <v>114</v>
      </c>
      <c r="BP9" s="59">
        <v>1</v>
      </c>
      <c r="BQ9" s="59" t="s">
        <v>342</v>
      </c>
      <c r="BR9" s="59" t="s">
        <v>338</v>
      </c>
      <c r="BS9" s="57" t="s">
        <v>322</v>
      </c>
      <c r="BT9" s="57" t="s">
        <v>322</v>
      </c>
      <c r="BU9" s="57" t="s">
        <v>323</v>
      </c>
      <c r="BV9" s="59" t="s">
        <v>343</v>
      </c>
      <c r="BW9" s="57" t="s">
        <v>322</v>
      </c>
      <c r="BX9" s="57" t="s">
        <v>322</v>
      </c>
      <c r="BY9" s="57" t="s">
        <v>322</v>
      </c>
      <c r="BZ9" s="57" t="s">
        <v>322</v>
      </c>
    </row>
    <row r="10" spans="1:78" s="60" customFormat="1" ht="60.75" customHeight="1" x14ac:dyDescent="0.2">
      <c r="A10" s="59" t="s">
        <v>345</v>
      </c>
      <c r="B10" s="59" t="s">
        <v>344</v>
      </c>
      <c r="C10" s="59" t="s">
        <v>346</v>
      </c>
      <c r="D10" s="59" t="str">
        <f>Table_ToolRecords[[#This Row],[Equip_No]]</f>
        <v>T236664</v>
      </c>
      <c r="E10" s="59" t="str">
        <f>Table_ToolRecords[[#This Row],[Equip_Name]]</f>
        <v>Getinge Jaymac Autoclave</v>
      </c>
      <c r="F10" s="59" t="s">
        <v>347</v>
      </c>
      <c r="G10" s="59" t="s">
        <v>348</v>
      </c>
      <c r="H10" s="59" t="s">
        <v>349</v>
      </c>
      <c r="I10" s="59" t="s">
        <v>350</v>
      </c>
      <c r="J10" s="59" t="s">
        <v>348</v>
      </c>
      <c r="K10" s="59" t="s">
        <v>348</v>
      </c>
      <c r="L10" s="59" t="s">
        <v>323</v>
      </c>
      <c r="M10" s="59" t="s">
        <v>322</v>
      </c>
      <c r="N10" s="59" t="s">
        <v>338</v>
      </c>
      <c r="O10" s="59"/>
      <c r="P10" s="59"/>
      <c r="Q10" s="59"/>
      <c r="R10" s="57">
        <v>41395</v>
      </c>
      <c r="S10" s="59">
        <v>236662</v>
      </c>
      <c r="T10" s="59">
        <v>1</v>
      </c>
      <c r="U10" s="59"/>
      <c r="V10" s="59" t="s">
        <v>322</v>
      </c>
      <c r="W10" s="59" t="s">
        <v>31</v>
      </c>
      <c r="X10" s="59"/>
      <c r="Y10" s="59" t="s">
        <v>323</v>
      </c>
      <c r="Z10" s="59" t="s">
        <v>322</v>
      </c>
      <c r="AA10" s="59" t="s">
        <v>348</v>
      </c>
      <c r="AB10" s="59" t="s">
        <v>323</v>
      </c>
      <c r="AC10" s="57" t="s">
        <v>322</v>
      </c>
      <c r="AD10" s="57" t="s">
        <v>322</v>
      </c>
      <c r="AE10" s="59" t="s">
        <v>322</v>
      </c>
      <c r="AF10" s="59" t="s">
        <v>322</v>
      </c>
      <c r="AG10" s="59" t="s">
        <v>322</v>
      </c>
      <c r="AH10" s="59" t="s">
        <v>351</v>
      </c>
      <c r="AI10" s="59"/>
      <c r="AJ10" s="59"/>
      <c r="AK10" s="59" t="s">
        <v>338</v>
      </c>
      <c r="AL10" s="59"/>
      <c r="AM10" s="59" t="s">
        <v>323</v>
      </c>
      <c r="AN10" s="59" t="s">
        <v>322</v>
      </c>
      <c r="AO10" s="59" t="s">
        <v>322</v>
      </c>
      <c r="AP10" s="59" t="s">
        <v>322</v>
      </c>
      <c r="AQ10" s="59" t="s">
        <v>322</v>
      </c>
      <c r="AR10" s="59" t="s">
        <v>348</v>
      </c>
      <c r="AS10" s="59">
        <v>1</v>
      </c>
      <c r="AT10" s="59" t="s">
        <v>352</v>
      </c>
      <c r="AU10" s="59" t="s">
        <v>338</v>
      </c>
      <c r="AV10" s="57" t="s">
        <v>322</v>
      </c>
      <c r="AW10" s="57" t="s">
        <v>322</v>
      </c>
      <c r="AX10" s="57" t="s">
        <v>322</v>
      </c>
      <c r="AY10" s="57" t="s">
        <v>322</v>
      </c>
      <c r="AZ10" s="59"/>
      <c r="BA10" s="57" t="s">
        <v>322</v>
      </c>
      <c r="BB10" s="59"/>
      <c r="BC10" s="57" t="s">
        <v>322</v>
      </c>
      <c r="BD10" s="57" t="s">
        <v>322</v>
      </c>
      <c r="BE10" s="59" t="s">
        <v>351</v>
      </c>
      <c r="BF10" s="57" t="s">
        <v>322</v>
      </c>
      <c r="BG10" s="57" t="s">
        <v>322</v>
      </c>
      <c r="BH10" s="57" t="s">
        <v>322</v>
      </c>
      <c r="BI10" s="57" t="s">
        <v>322</v>
      </c>
      <c r="BJ10" s="59" t="s">
        <v>353</v>
      </c>
      <c r="BK10" s="57" t="s">
        <v>322</v>
      </c>
      <c r="BL10" s="59" t="s">
        <v>354</v>
      </c>
      <c r="BM10" s="59" t="s">
        <v>351</v>
      </c>
      <c r="BN10" s="59" t="s">
        <v>351</v>
      </c>
      <c r="BO10" s="59" t="s">
        <v>351</v>
      </c>
      <c r="BP10" s="59"/>
      <c r="BQ10" s="59"/>
      <c r="BR10" s="59"/>
      <c r="BS10" s="57"/>
      <c r="BT10" s="57"/>
      <c r="BU10" s="57" t="s">
        <v>323</v>
      </c>
      <c r="BV10" s="59" t="s">
        <v>355</v>
      </c>
      <c r="BW10" s="57" t="s">
        <v>322</v>
      </c>
      <c r="BX10" s="57" t="s">
        <v>322</v>
      </c>
      <c r="BY10" s="57" t="s">
        <v>322</v>
      </c>
      <c r="BZ10" s="57" t="s">
        <v>322</v>
      </c>
    </row>
    <row r="11" spans="1:78" ht="89.25" x14ac:dyDescent="0.2">
      <c r="A11" s="59" t="s">
        <v>357</v>
      </c>
      <c r="B11" s="59" t="s">
        <v>356</v>
      </c>
      <c r="C11" s="59"/>
      <c r="D11" s="59" t="str">
        <f>Table_ToolRecords[[#This Row],[Equip_No]]</f>
        <v>T334086</v>
      </c>
      <c r="E11" s="59" t="str">
        <f>Table_ToolRecords[[#This Row],[Equip_Name]]</f>
        <v>DIGITAL BLADE MICROMETER</v>
      </c>
      <c r="F11" s="59" t="s">
        <v>358</v>
      </c>
      <c r="G11" s="59"/>
      <c r="H11" s="59" t="s">
        <v>359</v>
      </c>
      <c r="I11" s="59" t="s">
        <v>360</v>
      </c>
      <c r="J11" s="59" t="s">
        <v>323</v>
      </c>
      <c r="K11" s="59" t="s">
        <v>322</v>
      </c>
      <c r="L11" s="59" t="s">
        <v>322</v>
      </c>
      <c r="M11" s="59" t="s">
        <v>322</v>
      </c>
      <c r="N11" s="59" t="s">
        <v>114</v>
      </c>
      <c r="O11" s="59" t="s">
        <v>1</v>
      </c>
      <c r="P11" s="59" t="s">
        <v>322</v>
      </c>
      <c r="Q11" s="59" t="s">
        <v>114</v>
      </c>
      <c r="R11" s="57"/>
      <c r="S11" s="59" t="s">
        <v>323</v>
      </c>
      <c r="T11" s="59" t="s">
        <v>323</v>
      </c>
      <c r="U11" s="59"/>
      <c r="V11" s="59"/>
      <c r="W11" s="59"/>
      <c r="X11" s="59"/>
      <c r="Y11" s="59"/>
      <c r="Z11" s="59" t="s">
        <v>322</v>
      </c>
      <c r="AA11" s="59" t="s">
        <v>322</v>
      </c>
      <c r="AB11" s="59" t="s">
        <v>322</v>
      </c>
      <c r="AC11" s="57"/>
      <c r="AD11" s="57" t="s">
        <v>322</v>
      </c>
      <c r="AE11" s="59" t="s">
        <v>322</v>
      </c>
      <c r="AF11" s="59" t="s">
        <v>1</v>
      </c>
      <c r="AG11" s="59" t="s">
        <v>0</v>
      </c>
      <c r="AH11" s="59" t="s">
        <v>1</v>
      </c>
      <c r="AI11" s="59"/>
      <c r="AJ11" s="59" t="s">
        <v>322</v>
      </c>
      <c r="AK11" s="59" t="s">
        <v>322</v>
      </c>
      <c r="AL11" s="59"/>
      <c r="AM11" s="59"/>
      <c r="AN11" s="59"/>
      <c r="AO11" s="59"/>
      <c r="AP11" s="59"/>
      <c r="AQ11" s="59"/>
      <c r="AR11" s="59"/>
      <c r="AS11" s="59"/>
      <c r="AT11" s="59"/>
      <c r="AU11" s="59"/>
      <c r="AV11" s="57" t="s">
        <v>323</v>
      </c>
      <c r="AW11" s="57" t="s">
        <v>322</v>
      </c>
      <c r="AX11" s="57" t="s">
        <v>1</v>
      </c>
      <c r="AY11" s="57" t="s">
        <v>322</v>
      </c>
      <c r="AZ11" s="59" t="s">
        <v>1</v>
      </c>
      <c r="BA11" s="57" t="s">
        <v>322</v>
      </c>
      <c r="BB11" s="59" t="s">
        <v>322</v>
      </c>
      <c r="BC11" s="57"/>
      <c r="BD11" s="57" t="s">
        <v>322</v>
      </c>
      <c r="BE11" s="59" t="s">
        <v>323</v>
      </c>
      <c r="BF11" s="57" t="s">
        <v>323</v>
      </c>
      <c r="BG11" s="57"/>
      <c r="BH11" s="57" t="s">
        <v>1</v>
      </c>
      <c r="BI11" s="57" t="s">
        <v>322</v>
      </c>
      <c r="BJ11" s="59" t="s">
        <v>1</v>
      </c>
      <c r="BK11" s="57" t="s">
        <v>0</v>
      </c>
      <c r="BL11" s="59" t="s">
        <v>1</v>
      </c>
      <c r="BM11" s="59"/>
      <c r="BN11" s="59" t="s">
        <v>362</v>
      </c>
      <c r="BO11" s="59" t="s">
        <v>105</v>
      </c>
      <c r="BP11" s="59"/>
      <c r="BQ11" s="59"/>
      <c r="BR11" s="59"/>
      <c r="BS11" s="57"/>
      <c r="BT11" s="57"/>
      <c r="BU11" s="57"/>
      <c r="BV11" s="59"/>
      <c r="BW11" s="57"/>
      <c r="BX11" s="57"/>
      <c r="BY11" s="57"/>
      <c r="BZ11" s="57"/>
    </row>
    <row r="12" spans="1:78" ht="89.25" x14ac:dyDescent="0.2">
      <c r="A12" s="59" t="s">
        <v>116</v>
      </c>
      <c r="B12" s="59" t="s">
        <v>115</v>
      </c>
      <c r="C12" s="59"/>
      <c r="D12" s="59" t="str">
        <f>Table_ToolRecords[[#This Row],[Equip_No]]</f>
        <v>T221772</v>
      </c>
      <c r="E12" s="59" t="str">
        <f>Table_ToolRecords[[#This Row],[Equip_Name]]</f>
        <v>UV-2450 single monochromator UV-VIS Spectrometer</v>
      </c>
      <c r="F12" s="59" t="s">
        <v>117</v>
      </c>
      <c r="G12" s="59"/>
      <c r="H12" s="59" t="s">
        <v>118</v>
      </c>
      <c r="I12" s="59" t="s">
        <v>119</v>
      </c>
      <c r="J12" s="59" t="s">
        <v>120</v>
      </c>
      <c r="K12" s="59" t="s">
        <v>31</v>
      </c>
      <c r="L12" s="59" t="s">
        <v>322</v>
      </c>
      <c r="M12" s="59" t="s">
        <v>323</v>
      </c>
      <c r="N12" s="59" t="s">
        <v>114</v>
      </c>
      <c r="O12" s="59" t="s">
        <v>323</v>
      </c>
      <c r="P12" s="59" t="s">
        <v>322</v>
      </c>
      <c r="Q12" s="59" t="s">
        <v>114</v>
      </c>
      <c r="R12" s="57">
        <v>40764</v>
      </c>
      <c r="S12" s="59">
        <v>221775</v>
      </c>
      <c r="T12" s="59" t="s">
        <v>121</v>
      </c>
      <c r="U12" s="59"/>
      <c r="V12" s="59"/>
      <c r="W12" s="59"/>
      <c r="X12" s="59"/>
      <c r="Y12" s="59"/>
      <c r="Z12" s="59" t="s">
        <v>322</v>
      </c>
      <c r="AA12" s="59" t="s">
        <v>1</v>
      </c>
      <c r="AB12" s="59" t="s">
        <v>322</v>
      </c>
      <c r="AC12" s="57"/>
      <c r="AD12" s="57" t="s">
        <v>322</v>
      </c>
      <c r="AE12" s="59" t="s">
        <v>322</v>
      </c>
      <c r="AF12" s="59" t="s">
        <v>322</v>
      </c>
      <c r="AG12" s="59" t="s">
        <v>323</v>
      </c>
      <c r="AH12" s="59" t="s">
        <v>122</v>
      </c>
      <c r="AI12" s="59"/>
      <c r="AJ12" s="59" t="s">
        <v>1</v>
      </c>
      <c r="AK12" s="59" t="s">
        <v>114</v>
      </c>
      <c r="AL12" s="59"/>
      <c r="AM12" s="59"/>
      <c r="AN12" s="59"/>
      <c r="AO12" s="59"/>
      <c r="AP12" s="59"/>
      <c r="AQ12" s="59"/>
      <c r="AR12" s="59"/>
      <c r="AS12" s="59"/>
      <c r="AT12" s="59"/>
      <c r="AU12" s="59"/>
      <c r="AV12" s="57" t="s">
        <v>323</v>
      </c>
      <c r="AW12" s="57" t="s">
        <v>322</v>
      </c>
      <c r="AX12" s="57" t="s">
        <v>322</v>
      </c>
      <c r="AY12" s="57" t="s">
        <v>322</v>
      </c>
      <c r="AZ12" s="59" t="s">
        <v>1</v>
      </c>
      <c r="BA12" s="57" t="s">
        <v>322</v>
      </c>
      <c r="BB12" s="59" t="s">
        <v>1</v>
      </c>
      <c r="BC12" s="57"/>
      <c r="BD12" s="57" t="s">
        <v>323</v>
      </c>
      <c r="BE12" s="59" t="s">
        <v>123</v>
      </c>
      <c r="BF12" s="57" t="s">
        <v>322</v>
      </c>
      <c r="BG12" s="57"/>
      <c r="BH12" s="57" t="s">
        <v>322</v>
      </c>
      <c r="BI12" s="57" t="s">
        <v>322</v>
      </c>
      <c r="BJ12" s="59" t="s">
        <v>1</v>
      </c>
      <c r="BK12" s="57" t="s">
        <v>322</v>
      </c>
      <c r="BL12" s="59" t="s">
        <v>1</v>
      </c>
      <c r="BM12" s="59"/>
      <c r="BN12" s="59" t="s">
        <v>1</v>
      </c>
      <c r="BO12" s="59" t="s">
        <v>114</v>
      </c>
      <c r="BP12" s="59"/>
      <c r="BQ12" s="59"/>
      <c r="BR12" s="59"/>
      <c r="BS12" s="57"/>
      <c r="BT12" s="57"/>
      <c r="BU12" s="57"/>
      <c r="BV12" s="59"/>
      <c r="BW12" s="57"/>
      <c r="BX12" s="57"/>
      <c r="BY12" s="57"/>
      <c r="BZ12" s="57"/>
    </row>
    <row r="13" spans="1:78" ht="89.25" x14ac:dyDescent="0.2">
      <c r="A13" s="59" t="s">
        <v>98</v>
      </c>
      <c r="B13" s="59" t="s">
        <v>97</v>
      </c>
      <c r="C13" s="59"/>
      <c r="D13" s="59" t="str">
        <f>Table_ToolRecords[[#This Row],[Equip_No]]</f>
        <v>T145948</v>
      </c>
      <c r="E13" s="59" t="str">
        <f>Table_ToolRecords[[#This Row],[Equip_Name]]</f>
        <v>Heat Sealing Machine, Medipacker TS 3535</v>
      </c>
      <c r="F13" s="59" t="s">
        <v>99</v>
      </c>
      <c r="G13" s="59"/>
      <c r="H13" s="59" t="s">
        <v>100</v>
      </c>
      <c r="I13" s="59" t="s">
        <v>101</v>
      </c>
      <c r="J13" s="59">
        <v>164151</v>
      </c>
      <c r="K13" s="59">
        <v>4979</v>
      </c>
      <c r="L13" s="59" t="s">
        <v>323</v>
      </c>
      <c r="M13" s="59" t="s">
        <v>322</v>
      </c>
      <c r="N13" s="59" t="s">
        <v>114</v>
      </c>
      <c r="O13" s="59" t="s">
        <v>323</v>
      </c>
      <c r="P13" s="59" t="s">
        <v>322</v>
      </c>
      <c r="Q13" s="59" t="s">
        <v>114</v>
      </c>
      <c r="R13" s="57"/>
      <c r="S13" s="59"/>
      <c r="T13" s="59"/>
      <c r="U13" s="59"/>
      <c r="V13" s="59"/>
      <c r="W13" s="59"/>
      <c r="X13" s="59"/>
      <c r="Y13" s="59"/>
      <c r="Z13" s="59" t="s">
        <v>323</v>
      </c>
      <c r="AA13" s="59" t="s">
        <v>100</v>
      </c>
      <c r="AB13" s="59" t="s">
        <v>322</v>
      </c>
      <c r="AC13" s="57"/>
      <c r="AD13" s="57" t="s">
        <v>322</v>
      </c>
      <c r="AE13" s="59" t="s">
        <v>322</v>
      </c>
      <c r="AF13" s="59" t="s">
        <v>322</v>
      </c>
      <c r="AG13" s="59" t="s">
        <v>322</v>
      </c>
      <c r="AH13" s="59" t="s">
        <v>1</v>
      </c>
      <c r="AI13" s="59"/>
      <c r="AJ13" s="59" t="s">
        <v>1</v>
      </c>
      <c r="AK13" s="59" t="s">
        <v>114</v>
      </c>
      <c r="AL13" s="59"/>
      <c r="AM13" s="59"/>
      <c r="AN13" s="59"/>
      <c r="AO13" s="59"/>
      <c r="AP13" s="59"/>
      <c r="AQ13" s="59"/>
      <c r="AR13" s="59"/>
      <c r="AS13" s="59"/>
      <c r="AT13" s="59"/>
      <c r="AU13" s="59"/>
      <c r="AV13" s="57" t="s">
        <v>322</v>
      </c>
      <c r="AW13" s="57" t="s">
        <v>322</v>
      </c>
      <c r="AX13" s="57" t="s">
        <v>322</v>
      </c>
      <c r="AY13" s="57" t="s">
        <v>323</v>
      </c>
      <c r="AZ13" s="59" t="s">
        <v>127</v>
      </c>
      <c r="BA13" s="57" t="s">
        <v>322</v>
      </c>
      <c r="BB13" s="59" t="s">
        <v>1</v>
      </c>
      <c r="BC13" s="57"/>
      <c r="BD13" s="57" t="s">
        <v>322</v>
      </c>
      <c r="BE13" s="59" t="s">
        <v>1</v>
      </c>
      <c r="BF13" s="57" t="s">
        <v>323</v>
      </c>
      <c r="BG13" s="57"/>
      <c r="BH13" s="57" t="s">
        <v>322</v>
      </c>
      <c r="BI13" s="57" t="s">
        <v>322</v>
      </c>
      <c r="BJ13" s="59" t="s">
        <v>1</v>
      </c>
      <c r="BK13" s="57" t="s">
        <v>322</v>
      </c>
      <c r="BL13" s="59" t="s">
        <v>1</v>
      </c>
      <c r="BM13" s="59"/>
      <c r="BN13" s="59" t="s">
        <v>103</v>
      </c>
      <c r="BO13" s="59" t="s">
        <v>114</v>
      </c>
      <c r="BP13" s="59"/>
      <c r="BQ13" s="59"/>
      <c r="BR13" s="59"/>
      <c r="BS13" s="57"/>
      <c r="BT13" s="57"/>
      <c r="BU13" s="57"/>
      <c r="BV13" s="59"/>
      <c r="BW13" s="57"/>
      <c r="BX13" s="57"/>
      <c r="BY13" s="57"/>
      <c r="BZ13" s="57"/>
    </row>
    <row r="14" spans="1:78" ht="51" x14ac:dyDescent="0.2">
      <c r="A14" s="59" t="s">
        <v>27</v>
      </c>
      <c r="B14" s="59" t="s">
        <v>26</v>
      </c>
      <c r="C14" s="59"/>
      <c r="D14" s="59" t="str">
        <f>Table_ToolRecords[[#This Row],[Equip_No]]</f>
        <v>T331418</v>
      </c>
      <c r="E14" s="59" t="str">
        <f>Table_ToolRecords[[#This Row],[Equip_Name]]</f>
        <v>Analytical Balance</v>
      </c>
      <c r="F14" s="59" t="s">
        <v>28</v>
      </c>
      <c r="G14" s="59"/>
      <c r="H14" s="59" t="s">
        <v>29</v>
      </c>
      <c r="I14" s="59" t="s">
        <v>30</v>
      </c>
      <c r="J14" s="59">
        <v>331423</v>
      </c>
      <c r="K14" s="59" t="s">
        <v>31</v>
      </c>
      <c r="L14" s="59" t="s">
        <v>323</v>
      </c>
      <c r="M14" s="59" t="s">
        <v>322</v>
      </c>
      <c r="N14" s="59" t="s">
        <v>114</v>
      </c>
      <c r="O14" s="59" t="s">
        <v>322</v>
      </c>
      <c r="P14" s="59" t="s">
        <v>323</v>
      </c>
      <c r="Q14" s="59" t="s">
        <v>114</v>
      </c>
      <c r="R14" s="57" t="s">
        <v>32</v>
      </c>
      <c r="S14" s="59">
        <v>331419</v>
      </c>
      <c r="T14" s="59">
        <v>1</v>
      </c>
      <c r="U14" s="59"/>
      <c r="V14" s="59"/>
      <c r="W14" s="59"/>
      <c r="X14" s="59"/>
      <c r="Y14" s="59"/>
      <c r="Z14" s="59" t="s">
        <v>323</v>
      </c>
      <c r="AA14" s="59" t="s">
        <v>33</v>
      </c>
      <c r="AB14" s="59" t="s">
        <v>323</v>
      </c>
      <c r="AC14" s="57"/>
      <c r="AD14" s="57" t="s">
        <v>322</v>
      </c>
      <c r="AE14" s="59" t="s">
        <v>322</v>
      </c>
      <c r="AF14" s="59" t="s">
        <v>322</v>
      </c>
      <c r="AG14" s="59" t="s">
        <v>322</v>
      </c>
      <c r="AH14" s="59" t="s">
        <v>1</v>
      </c>
      <c r="AI14" s="59"/>
      <c r="AJ14" s="59" t="s">
        <v>1</v>
      </c>
      <c r="AK14" s="59" t="s">
        <v>114</v>
      </c>
      <c r="AL14" s="59"/>
      <c r="AM14" s="59"/>
      <c r="AN14" s="59"/>
      <c r="AO14" s="59"/>
      <c r="AP14" s="59"/>
      <c r="AQ14" s="59"/>
      <c r="AR14" s="59"/>
      <c r="AS14" s="59"/>
      <c r="AT14" s="59"/>
      <c r="AU14" s="59"/>
      <c r="AV14" s="57" t="s">
        <v>322</v>
      </c>
      <c r="AW14" s="57" t="s">
        <v>322</v>
      </c>
      <c r="AX14" s="57" t="s">
        <v>322</v>
      </c>
      <c r="AY14" s="57" t="s">
        <v>323</v>
      </c>
      <c r="AZ14" s="59" t="s">
        <v>34</v>
      </c>
      <c r="BA14" s="57" t="s">
        <v>322</v>
      </c>
      <c r="BB14" s="59" t="s">
        <v>1</v>
      </c>
      <c r="BC14" s="57"/>
      <c r="BD14" s="57" t="s">
        <v>322</v>
      </c>
      <c r="BE14" s="59" t="s">
        <v>1</v>
      </c>
      <c r="BF14" s="57" t="s">
        <v>322</v>
      </c>
      <c r="BG14" s="57"/>
      <c r="BH14" s="57" t="s">
        <v>322</v>
      </c>
      <c r="BI14" s="57" t="s">
        <v>322</v>
      </c>
      <c r="BJ14" s="59" t="s">
        <v>1</v>
      </c>
      <c r="BK14" s="57" t="s">
        <v>323</v>
      </c>
      <c r="BL14" s="59" t="s">
        <v>35</v>
      </c>
      <c r="BM14" s="59"/>
      <c r="BN14" s="59" t="s">
        <v>1</v>
      </c>
      <c r="BO14" s="59" t="s">
        <v>114</v>
      </c>
      <c r="BP14" s="59"/>
      <c r="BQ14" s="59"/>
      <c r="BR14" s="59"/>
      <c r="BS14" s="57"/>
      <c r="BT14" s="57"/>
      <c r="BU14" s="57"/>
      <c r="BV14" s="59"/>
      <c r="BW14" s="57"/>
      <c r="BX14" s="57"/>
      <c r="BY14" s="57"/>
      <c r="BZ14" s="57"/>
    </row>
    <row r="15" spans="1:78" ht="38.25" x14ac:dyDescent="0.2">
      <c r="A15" s="59" t="s">
        <v>172</v>
      </c>
      <c r="B15" s="59" t="s">
        <v>171</v>
      </c>
      <c r="C15" s="59"/>
      <c r="D15" s="59" t="str">
        <f>Table_ToolRecords[[#This Row],[Equip_No]]</f>
        <v>T50910</v>
      </c>
      <c r="E15" s="59" t="str">
        <f>Table_ToolRecords[[#This Row],[Equip_Name]]</f>
        <v>De-Binding Oven</v>
      </c>
      <c r="F15" s="59" t="s">
        <v>173</v>
      </c>
      <c r="G15" s="59"/>
      <c r="H15" s="59" t="s">
        <v>174</v>
      </c>
      <c r="I15" s="59" t="s">
        <v>175</v>
      </c>
      <c r="J15" s="59">
        <v>201417</v>
      </c>
      <c r="K15" s="59" t="s">
        <v>176</v>
      </c>
      <c r="L15" s="59" t="s">
        <v>322</v>
      </c>
      <c r="M15" s="59" t="s">
        <v>323</v>
      </c>
      <c r="N15" s="59" t="s">
        <v>114</v>
      </c>
      <c r="O15" s="59" t="s">
        <v>323</v>
      </c>
      <c r="P15" s="59" t="s">
        <v>322</v>
      </c>
      <c r="Q15" s="59" t="s">
        <v>114</v>
      </c>
      <c r="R15" s="57">
        <v>40826</v>
      </c>
      <c r="S15" s="59">
        <v>201417</v>
      </c>
      <c r="T15" s="59">
        <v>7</v>
      </c>
      <c r="U15" s="59"/>
      <c r="V15" s="59"/>
      <c r="W15" s="59"/>
      <c r="X15" s="59"/>
      <c r="Y15" s="59"/>
      <c r="Z15" s="59" t="s">
        <v>322</v>
      </c>
      <c r="AA15" s="59" t="s">
        <v>1</v>
      </c>
      <c r="AB15" s="59" t="s">
        <v>322</v>
      </c>
      <c r="AC15" s="57"/>
      <c r="AD15" s="57" t="s">
        <v>322</v>
      </c>
      <c r="AE15" s="59" t="s">
        <v>322</v>
      </c>
      <c r="AF15" s="59" t="s">
        <v>322</v>
      </c>
      <c r="AG15" s="59" t="s">
        <v>323</v>
      </c>
      <c r="AH15" s="59" t="s">
        <v>177</v>
      </c>
      <c r="AI15" s="59"/>
      <c r="AJ15" s="59" t="s">
        <v>1</v>
      </c>
      <c r="AK15" s="59" t="s">
        <v>114</v>
      </c>
      <c r="AL15" s="59"/>
      <c r="AM15" s="59"/>
      <c r="AN15" s="59"/>
      <c r="AO15" s="59"/>
      <c r="AP15" s="59"/>
      <c r="AQ15" s="59"/>
      <c r="AR15" s="59"/>
      <c r="AS15" s="59"/>
      <c r="AT15" s="59"/>
      <c r="AU15" s="59"/>
      <c r="AV15" s="57" t="s">
        <v>323</v>
      </c>
      <c r="AW15" s="57" t="s">
        <v>322</v>
      </c>
      <c r="AX15" s="57" t="s">
        <v>322</v>
      </c>
      <c r="AY15" s="57" t="s">
        <v>322</v>
      </c>
      <c r="AZ15" s="59" t="s">
        <v>1</v>
      </c>
      <c r="BA15" s="57" t="s">
        <v>322</v>
      </c>
      <c r="BB15" s="59" t="s">
        <v>1</v>
      </c>
      <c r="BC15" s="57"/>
      <c r="BD15" s="57" t="s">
        <v>322</v>
      </c>
      <c r="BE15" s="59" t="s">
        <v>1</v>
      </c>
      <c r="BF15" s="57" t="s">
        <v>323</v>
      </c>
      <c r="BG15" s="57"/>
      <c r="BH15" s="57" t="s">
        <v>322</v>
      </c>
      <c r="BI15" s="57" t="s">
        <v>322</v>
      </c>
      <c r="BJ15" s="59" t="s">
        <v>1</v>
      </c>
      <c r="BK15" s="57" t="s">
        <v>322</v>
      </c>
      <c r="BL15" s="59" t="s">
        <v>1</v>
      </c>
      <c r="BM15" s="59"/>
      <c r="BN15" s="59" t="s">
        <v>1</v>
      </c>
      <c r="BO15" s="59" t="s">
        <v>114</v>
      </c>
      <c r="BP15" s="59"/>
      <c r="BQ15" s="59"/>
      <c r="BR15" s="59"/>
      <c r="BS15" s="57"/>
      <c r="BT15" s="57"/>
      <c r="BU15" s="57"/>
      <c r="BV15" s="59"/>
      <c r="BW15" s="57"/>
      <c r="BX15" s="57"/>
      <c r="BY15" s="57"/>
      <c r="BZ15" s="57"/>
    </row>
    <row r="16" spans="1:78" ht="76.5" x14ac:dyDescent="0.2">
      <c r="A16" s="59" t="s">
        <v>194</v>
      </c>
      <c r="B16" s="59" t="s">
        <v>193</v>
      </c>
      <c r="C16" s="59"/>
      <c r="D16" s="59" t="str">
        <f>Table_ToolRecords[[#This Row],[Equip_No]]</f>
        <v>T95078</v>
      </c>
      <c r="E16" s="59" t="str">
        <f>Table_ToolRecords[[#This Row],[Equip_Name]]</f>
        <v>Digital Caliper</v>
      </c>
      <c r="F16" s="59" t="s">
        <v>195</v>
      </c>
      <c r="G16" s="59"/>
      <c r="H16" s="59" t="s">
        <v>196</v>
      </c>
      <c r="I16" s="59" t="s">
        <v>197</v>
      </c>
      <c r="J16" s="59" t="s">
        <v>31</v>
      </c>
      <c r="K16" s="59" t="s">
        <v>31</v>
      </c>
      <c r="L16" s="59" t="s">
        <v>323</v>
      </c>
      <c r="M16" s="59" t="s">
        <v>322</v>
      </c>
      <c r="N16" s="59" t="s">
        <v>114</v>
      </c>
      <c r="O16" s="59" t="s">
        <v>322</v>
      </c>
      <c r="P16" s="59" t="s">
        <v>323</v>
      </c>
      <c r="Q16" s="59" t="s">
        <v>114</v>
      </c>
      <c r="R16" s="57">
        <v>40580</v>
      </c>
      <c r="S16" s="59">
        <v>201739</v>
      </c>
      <c r="T16" s="59">
        <v>21</v>
      </c>
      <c r="U16" s="59"/>
      <c r="V16" s="59"/>
      <c r="W16" s="59"/>
      <c r="X16" s="59"/>
      <c r="Y16" s="59"/>
      <c r="Z16" s="59" t="s">
        <v>323</v>
      </c>
      <c r="AA16" s="59" t="s">
        <v>198</v>
      </c>
      <c r="AB16" s="59" t="s">
        <v>322</v>
      </c>
      <c r="AC16" s="57"/>
      <c r="AD16" s="57" t="s">
        <v>322</v>
      </c>
      <c r="AE16" s="59" t="s">
        <v>322</v>
      </c>
      <c r="AF16" s="59" t="s">
        <v>322</v>
      </c>
      <c r="AG16" s="59" t="s">
        <v>322</v>
      </c>
      <c r="AH16" s="59" t="s">
        <v>1</v>
      </c>
      <c r="AI16" s="59"/>
      <c r="AJ16" s="59" t="s">
        <v>1</v>
      </c>
      <c r="AK16" s="59" t="s">
        <v>114</v>
      </c>
      <c r="AL16" s="59"/>
      <c r="AM16" s="59"/>
      <c r="AN16" s="59"/>
      <c r="AO16" s="59"/>
      <c r="AP16" s="59"/>
      <c r="AQ16" s="59"/>
      <c r="AR16" s="59"/>
      <c r="AS16" s="59"/>
      <c r="AT16" s="59"/>
      <c r="AU16" s="59"/>
      <c r="AV16" s="57" t="s">
        <v>322</v>
      </c>
      <c r="AW16" s="57" t="s">
        <v>322</v>
      </c>
      <c r="AX16" s="57" t="s">
        <v>323</v>
      </c>
      <c r="AY16" s="57" t="s">
        <v>322</v>
      </c>
      <c r="AZ16" s="59" t="s">
        <v>1</v>
      </c>
      <c r="BA16" s="57" t="s">
        <v>322</v>
      </c>
      <c r="BB16" s="59" t="s">
        <v>1</v>
      </c>
      <c r="BC16" s="57"/>
      <c r="BD16" s="57" t="s">
        <v>322</v>
      </c>
      <c r="BE16" s="59" t="s">
        <v>1</v>
      </c>
      <c r="BF16" s="57" t="s">
        <v>322</v>
      </c>
      <c r="BG16" s="57"/>
      <c r="BH16" s="57" t="s">
        <v>323</v>
      </c>
      <c r="BI16" s="57" t="s">
        <v>322</v>
      </c>
      <c r="BJ16" s="59" t="s">
        <v>1</v>
      </c>
      <c r="BK16" s="57" t="s">
        <v>322</v>
      </c>
      <c r="BL16" s="59" t="s">
        <v>1</v>
      </c>
      <c r="BM16" s="59"/>
      <c r="BN16" s="59" t="s">
        <v>1</v>
      </c>
      <c r="BO16" s="59" t="s">
        <v>114</v>
      </c>
      <c r="BP16" s="59"/>
      <c r="BQ16" s="59"/>
      <c r="BR16" s="59"/>
      <c r="BS16" s="57"/>
      <c r="BT16" s="57"/>
      <c r="BU16" s="57"/>
      <c r="BV16" s="59"/>
      <c r="BW16" s="57"/>
      <c r="BX16" s="57"/>
      <c r="BY16" s="57"/>
      <c r="BZ16" s="57"/>
    </row>
    <row r="17" spans="1:78" ht="51" x14ac:dyDescent="0.2">
      <c r="A17" s="59" t="s">
        <v>316</v>
      </c>
      <c r="B17" s="59" t="s">
        <v>315</v>
      </c>
      <c r="C17" s="59"/>
      <c r="D17" s="59" t="str">
        <f>Table_ToolRecords[[#This Row],[Equip_No]]</f>
        <v>T178684</v>
      </c>
      <c r="E17" s="59" t="str">
        <f>Table_ToolRecords[[#This Row],[Equip_Name]]</f>
        <v>Hardball Ablation Jig</v>
      </c>
      <c r="F17" s="59" t="s">
        <v>317</v>
      </c>
      <c r="G17" s="59"/>
      <c r="H17" s="59" t="s">
        <v>318</v>
      </c>
      <c r="I17" s="59" t="s">
        <v>319</v>
      </c>
      <c r="J17" s="59" t="s">
        <v>31</v>
      </c>
      <c r="K17" s="59" t="s">
        <v>31</v>
      </c>
      <c r="L17" s="59" t="s">
        <v>322</v>
      </c>
      <c r="M17" s="59" t="s">
        <v>323</v>
      </c>
      <c r="N17" s="59" t="s">
        <v>114</v>
      </c>
      <c r="O17" s="59" t="s">
        <v>322</v>
      </c>
      <c r="P17" s="59" t="s">
        <v>323</v>
      </c>
      <c r="Q17" s="59" t="s">
        <v>114</v>
      </c>
      <c r="R17" s="57"/>
      <c r="S17" s="59"/>
      <c r="T17" s="59"/>
      <c r="U17" s="59"/>
      <c r="V17" s="59"/>
      <c r="W17" s="59"/>
      <c r="X17" s="59"/>
      <c r="Y17" s="59"/>
      <c r="Z17" s="59" t="s">
        <v>322</v>
      </c>
      <c r="AA17" s="59" t="s">
        <v>1</v>
      </c>
      <c r="AB17" s="59" t="s">
        <v>322</v>
      </c>
      <c r="AC17" s="57"/>
      <c r="AD17" s="57" t="s">
        <v>322</v>
      </c>
      <c r="AE17" s="59" t="s">
        <v>322</v>
      </c>
      <c r="AF17" s="59" t="s">
        <v>323</v>
      </c>
      <c r="AG17" s="59" t="s">
        <v>323</v>
      </c>
      <c r="AH17" s="59" t="s">
        <v>320</v>
      </c>
      <c r="AI17" s="59"/>
      <c r="AJ17" s="59" t="s">
        <v>1</v>
      </c>
      <c r="AK17" s="59" t="s">
        <v>114</v>
      </c>
      <c r="AL17" s="59"/>
      <c r="AM17" s="59"/>
      <c r="AN17" s="59"/>
      <c r="AO17" s="59"/>
      <c r="AP17" s="59"/>
      <c r="AQ17" s="59"/>
      <c r="AR17" s="59"/>
      <c r="AS17" s="59"/>
      <c r="AT17" s="59"/>
      <c r="AU17" s="59"/>
      <c r="AV17" s="57" t="s">
        <v>323</v>
      </c>
      <c r="AW17" s="57" t="s">
        <v>322</v>
      </c>
      <c r="AX17" s="57" t="s">
        <v>322</v>
      </c>
      <c r="AY17" s="57" t="s">
        <v>322</v>
      </c>
      <c r="AZ17" s="59" t="s">
        <v>1</v>
      </c>
      <c r="BA17" s="57" t="s">
        <v>322</v>
      </c>
      <c r="BB17" s="59" t="s">
        <v>1</v>
      </c>
      <c r="BC17" s="57"/>
      <c r="BD17" s="57" t="s">
        <v>322</v>
      </c>
      <c r="BE17" s="59" t="s">
        <v>1</v>
      </c>
      <c r="BF17" s="57" t="s">
        <v>322</v>
      </c>
      <c r="BG17" s="57"/>
      <c r="BH17" s="57" t="s">
        <v>323</v>
      </c>
      <c r="BI17" s="57" t="s">
        <v>322</v>
      </c>
      <c r="BJ17" s="59" t="s">
        <v>1</v>
      </c>
      <c r="BK17" s="57" t="s">
        <v>322</v>
      </c>
      <c r="BL17" s="59" t="s">
        <v>1</v>
      </c>
      <c r="BM17" s="59"/>
      <c r="BN17" s="59" t="s">
        <v>1</v>
      </c>
      <c r="BO17" s="59" t="s">
        <v>114</v>
      </c>
      <c r="BP17" s="59"/>
      <c r="BQ17" s="59"/>
      <c r="BR17" s="59"/>
      <c r="BS17" s="57"/>
      <c r="BT17" s="57"/>
      <c r="BU17" s="57"/>
      <c r="BV17" s="59"/>
      <c r="BW17" s="57"/>
      <c r="BX17" s="57"/>
      <c r="BY17" s="57"/>
      <c r="BZ17" s="57"/>
    </row>
    <row r="18" spans="1:78" ht="51" x14ac:dyDescent="0.2">
      <c r="A18" s="59" t="s">
        <v>325</v>
      </c>
      <c r="B18" s="59" t="s">
        <v>324</v>
      </c>
      <c r="C18" s="59"/>
      <c r="D18" s="59" t="str">
        <f>Table_ToolRecords[[#This Row],[Equip_No]]</f>
        <v>T50961</v>
      </c>
      <c r="E18" s="59" t="str">
        <f>Table_ToolRecords[[#This Row],[Equip_Name]]</f>
        <v>Eurotherm Digital Chart Recorder</v>
      </c>
      <c r="F18" s="59" t="s">
        <v>326</v>
      </c>
      <c r="G18" s="59"/>
      <c r="H18" s="59" t="s">
        <v>327</v>
      </c>
      <c r="I18" s="59" t="s">
        <v>328</v>
      </c>
      <c r="J18" s="59">
        <v>280115</v>
      </c>
      <c r="K18" s="59">
        <v>2647</v>
      </c>
      <c r="L18" s="59" t="s">
        <v>323</v>
      </c>
      <c r="M18" s="59" t="s">
        <v>322</v>
      </c>
      <c r="N18" s="59" t="s">
        <v>114</v>
      </c>
      <c r="O18" s="59" t="s">
        <v>323</v>
      </c>
      <c r="P18" s="59" t="s">
        <v>322</v>
      </c>
      <c r="Q18" s="59" t="s">
        <v>114</v>
      </c>
      <c r="R18" s="57" t="s">
        <v>329</v>
      </c>
      <c r="S18" s="59">
        <v>201431</v>
      </c>
      <c r="T18" s="59">
        <v>6</v>
      </c>
      <c r="U18" s="59"/>
      <c r="V18" s="59"/>
      <c r="W18" s="59"/>
      <c r="X18" s="59"/>
      <c r="Y18" s="59"/>
      <c r="Z18" s="59" t="s">
        <v>323</v>
      </c>
      <c r="AA18" s="59" t="s">
        <v>327</v>
      </c>
      <c r="AB18" s="59" t="s">
        <v>323</v>
      </c>
      <c r="AC18" s="57"/>
      <c r="AD18" s="57" t="s">
        <v>322</v>
      </c>
      <c r="AE18" s="59" t="s">
        <v>322</v>
      </c>
      <c r="AF18" s="59" t="s">
        <v>322</v>
      </c>
      <c r="AG18" s="59" t="s">
        <v>322</v>
      </c>
      <c r="AH18" s="59" t="s">
        <v>1</v>
      </c>
      <c r="AI18" s="59"/>
      <c r="AJ18" s="59" t="s">
        <v>1</v>
      </c>
      <c r="AK18" s="59" t="s">
        <v>114</v>
      </c>
      <c r="AL18" s="59"/>
      <c r="AM18" s="59"/>
      <c r="AN18" s="59"/>
      <c r="AO18" s="59"/>
      <c r="AP18" s="59"/>
      <c r="AQ18" s="59"/>
      <c r="AR18" s="59"/>
      <c r="AS18" s="59"/>
      <c r="AT18" s="59"/>
      <c r="AU18" s="59"/>
      <c r="AV18" s="57" t="s">
        <v>322</v>
      </c>
      <c r="AW18" s="57" t="s">
        <v>322</v>
      </c>
      <c r="AX18" s="57" t="s">
        <v>322</v>
      </c>
      <c r="AY18" s="57" t="s">
        <v>323</v>
      </c>
      <c r="AZ18" s="59" t="s">
        <v>330</v>
      </c>
      <c r="BA18" s="57" t="s">
        <v>322</v>
      </c>
      <c r="BB18" s="59" t="s">
        <v>1</v>
      </c>
      <c r="BC18" s="57"/>
      <c r="BD18" s="57" t="s">
        <v>323</v>
      </c>
      <c r="BE18" s="59" t="s">
        <v>327</v>
      </c>
      <c r="BF18" s="57" t="s">
        <v>323</v>
      </c>
      <c r="BG18" s="57"/>
      <c r="BH18" s="57" t="s">
        <v>322</v>
      </c>
      <c r="BI18" s="57" t="s">
        <v>322</v>
      </c>
      <c r="BJ18" s="59" t="s">
        <v>1</v>
      </c>
      <c r="BK18" s="57" t="s">
        <v>322</v>
      </c>
      <c r="BL18" s="59" t="s">
        <v>1</v>
      </c>
      <c r="BM18" s="59"/>
      <c r="BN18" s="59" t="s">
        <v>1</v>
      </c>
      <c r="BO18" s="59" t="s">
        <v>114</v>
      </c>
      <c r="BP18" s="59"/>
      <c r="BQ18" s="59"/>
      <c r="BR18" s="59"/>
      <c r="BS18" s="57"/>
      <c r="BT18" s="57"/>
      <c r="BU18" s="57"/>
      <c r="BV18" s="59"/>
      <c r="BW18" s="57"/>
      <c r="BX18" s="57"/>
      <c r="BY18" s="57"/>
      <c r="BZ18" s="57"/>
    </row>
    <row r="19" spans="1:78" ht="25.5" x14ac:dyDescent="0.2">
      <c r="A19" s="59" t="s">
        <v>334</v>
      </c>
      <c r="B19" s="59" t="s">
        <v>335</v>
      </c>
      <c r="C19" s="59"/>
      <c r="D19" s="59" t="str">
        <f>Table_ToolRecords[[#This Row],[Equip_No]]</f>
        <v>T432965</v>
      </c>
      <c r="E19" s="59" t="str">
        <f>Table_ToolRecords[[#This Row],[Equip_Name]]</f>
        <v>Sorting Ring Mould Tool</v>
      </c>
      <c r="F19" s="59"/>
      <c r="G19" s="59"/>
      <c r="H19" s="59"/>
      <c r="I19" s="59"/>
      <c r="J19" s="59"/>
      <c r="K19" s="59"/>
      <c r="L19" s="59" t="s">
        <v>322</v>
      </c>
      <c r="M19" s="59"/>
      <c r="N19" s="59" t="s">
        <v>114</v>
      </c>
      <c r="O19" s="59"/>
      <c r="P19" s="59"/>
      <c r="Q19" s="59" t="s">
        <v>114</v>
      </c>
      <c r="R19" s="57"/>
      <c r="S19" s="59">
        <v>436315</v>
      </c>
      <c r="T19" s="59">
        <v>0</v>
      </c>
      <c r="U19" s="59"/>
      <c r="V19" s="59"/>
      <c r="W19" s="59"/>
      <c r="X19" s="59"/>
      <c r="Y19" s="59"/>
      <c r="Z19" s="59"/>
      <c r="AA19" s="59"/>
      <c r="AB19" s="59"/>
      <c r="AC19" s="57"/>
      <c r="AD19" s="57"/>
      <c r="AE19" s="59"/>
      <c r="AF19" s="59"/>
      <c r="AG19" s="59"/>
      <c r="AH19" s="59"/>
      <c r="AI19" s="59"/>
      <c r="AJ19" s="59"/>
      <c r="AK19" s="59" t="s">
        <v>114</v>
      </c>
      <c r="AL19" s="59"/>
      <c r="AM19" s="59"/>
      <c r="AN19" s="59"/>
      <c r="AO19" s="59"/>
      <c r="AP19" s="59"/>
      <c r="AQ19" s="59"/>
      <c r="AR19" s="59"/>
      <c r="AS19" s="59"/>
      <c r="AT19" s="59"/>
      <c r="AU19" s="59"/>
      <c r="AV19" s="57"/>
      <c r="AW19" s="57"/>
      <c r="AX19" s="57"/>
      <c r="AY19" s="57"/>
      <c r="AZ19" s="59"/>
      <c r="BA19" s="57"/>
      <c r="BB19" s="59"/>
      <c r="BC19" s="57"/>
      <c r="BD19" s="57"/>
      <c r="BE19" s="59"/>
      <c r="BF19" s="57"/>
      <c r="BG19" s="57"/>
      <c r="BH19" s="57"/>
      <c r="BI19" s="57"/>
      <c r="BJ19" s="59"/>
      <c r="BK19" s="57"/>
      <c r="BL19" s="59"/>
      <c r="BM19" s="59"/>
      <c r="BN19" s="59"/>
      <c r="BO19" s="59" t="s">
        <v>114</v>
      </c>
      <c r="BP19" s="59"/>
      <c r="BQ19" s="59"/>
      <c r="BR19" s="59"/>
      <c r="BS19" s="57"/>
      <c r="BT19" s="57"/>
      <c r="BU19" s="57"/>
      <c r="BV19" s="59"/>
      <c r="BW19" s="57"/>
      <c r="BX19" s="57"/>
      <c r="BY19" s="57"/>
      <c r="BZ19" s="57"/>
    </row>
    <row r="20" spans="1:78" ht="38.25" x14ac:dyDescent="0.2">
      <c r="A20" s="59" t="s">
        <v>344</v>
      </c>
      <c r="B20" s="59" t="s">
        <v>345</v>
      </c>
      <c r="C20" s="59"/>
      <c r="D20" s="59" t="str">
        <f>Table_ToolRecords[[#This Row],[Equip_No]]</f>
        <v>Getinge Jaymac Autoclave</v>
      </c>
      <c r="E20" s="59" t="str">
        <f>Table_ToolRecords[[#This Row],[Equip_Name]]</f>
        <v>T236664</v>
      </c>
      <c r="F20" s="59"/>
      <c r="G20" s="59"/>
      <c r="H20" s="59"/>
      <c r="I20" s="59"/>
      <c r="J20" s="59"/>
      <c r="K20" s="59"/>
      <c r="L20" s="59"/>
      <c r="M20" s="59"/>
      <c r="N20" s="59"/>
      <c r="O20" s="59"/>
      <c r="P20" s="59"/>
      <c r="Q20" s="59"/>
      <c r="R20" s="57"/>
      <c r="S20" s="59"/>
      <c r="T20" s="59"/>
      <c r="U20" s="59"/>
      <c r="V20" s="59"/>
      <c r="W20" s="59"/>
      <c r="X20" s="59"/>
      <c r="Y20" s="59"/>
      <c r="Z20" s="59"/>
      <c r="AA20" s="59"/>
      <c r="AB20" s="59"/>
      <c r="AC20" s="57"/>
      <c r="AD20" s="57"/>
      <c r="AE20" s="59"/>
      <c r="AF20" s="59"/>
      <c r="AG20" s="59"/>
      <c r="AH20" s="59"/>
      <c r="AI20" s="59"/>
      <c r="AJ20" s="59"/>
      <c r="AK20" s="59"/>
      <c r="AL20" s="59"/>
      <c r="AM20" s="59"/>
      <c r="AN20" s="59"/>
      <c r="AO20" s="59"/>
      <c r="AP20" s="59"/>
      <c r="AQ20" s="59"/>
      <c r="AR20" s="59"/>
      <c r="AS20" s="59"/>
      <c r="AT20" s="59"/>
      <c r="AU20" s="59"/>
      <c r="AV20" s="57"/>
      <c r="AW20" s="57"/>
      <c r="AX20" s="57"/>
      <c r="AY20" s="57"/>
      <c r="AZ20" s="59"/>
      <c r="BA20" s="57"/>
      <c r="BB20" s="59"/>
      <c r="BC20" s="57"/>
      <c r="BD20" s="57"/>
      <c r="BE20" s="59"/>
      <c r="BF20" s="57"/>
      <c r="BG20" s="57"/>
      <c r="BH20" s="57"/>
      <c r="BI20" s="57"/>
      <c r="BJ20" s="59"/>
      <c r="BK20" s="57"/>
      <c r="BL20" s="59"/>
      <c r="BM20" s="59"/>
      <c r="BN20" s="59"/>
      <c r="BO20" s="59"/>
      <c r="BP20" s="59"/>
      <c r="BQ20" s="59"/>
      <c r="BR20" s="59"/>
      <c r="BS20" s="57"/>
      <c r="BT20" s="57"/>
      <c r="BU20" s="57"/>
      <c r="BV20" s="59"/>
      <c r="BW20" s="57"/>
      <c r="BX20" s="57"/>
      <c r="BY20" s="57"/>
      <c r="BZ20" s="57"/>
    </row>
    <row r="21" spans="1:78" ht="89.25" x14ac:dyDescent="0.2">
      <c r="A21" s="59" t="s">
        <v>357</v>
      </c>
      <c r="B21" s="59" t="s">
        <v>356</v>
      </c>
      <c r="C21" s="59"/>
      <c r="D21" s="59" t="str">
        <f>Table_ToolRecords[[#This Row],[Equip_No]]</f>
        <v>T334086</v>
      </c>
      <c r="E21" s="59" t="str">
        <f>Table_ToolRecords[[#This Row],[Equip_Name]]</f>
        <v>DIGITAL BLADE MICROMETER</v>
      </c>
      <c r="F21" s="59" t="s">
        <v>358</v>
      </c>
      <c r="G21" s="59"/>
      <c r="H21" s="59" t="s">
        <v>359</v>
      </c>
      <c r="I21" s="59" t="s">
        <v>360</v>
      </c>
      <c r="J21" s="59" t="s">
        <v>323</v>
      </c>
      <c r="K21" s="59" t="s">
        <v>322</v>
      </c>
      <c r="L21" s="59" t="s">
        <v>322</v>
      </c>
      <c r="M21" s="59" t="s">
        <v>322</v>
      </c>
      <c r="N21" s="59" t="s">
        <v>114</v>
      </c>
      <c r="O21" s="59" t="s">
        <v>1</v>
      </c>
      <c r="P21" s="59" t="s">
        <v>322</v>
      </c>
      <c r="Q21" s="59" t="s">
        <v>114</v>
      </c>
      <c r="R21" s="57"/>
      <c r="S21" s="59" t="s">
        <v>323</v>
      </c>
      <c r="T21" s="59" t="s">
        <v>323</v>
      </c>
      <c r="U21" s="59"/>
      <c r="V21" s="59"/>
      <c r="W21" s="59"/>
      <c r="X21" s="59"/>
      <c r="Y21" s="59"/>
      <c r="Z21" s="59" t="s">
        <v>322</v>
      </c>
      <c r="AA21" s="59" t="s">
        <v>322</v>
      </c>
      <c r="AB21" s="59" t="s">
        <v>322</v>
      </c>
      <c r="AC21" s="57"/>
      <c r="AD21" s="57" t="s">
        <v>322</v>
      </c>
      <c r="AE21" s="59" t="s">
        <v>322</v>
      </c>
      <c r="AF21" s="59" t="s">
        <v>1</v>
      </c>
      <c r="AG21" s="59" t="s">
        <v>0</v>
      </c>
      <c r="AH21" s="59" t="s">
        <v>1</v>
      </c>
      <c r="AI21" s="59"/>
      <c r="AJ21" s="59" t="s">
        <v>322</v>
      </c>
      <c r="AK21" s="59" t="s">
        <v>322</v>
      </c>
      <c r="AL21" s="59"/>
      <c r="AM21" s="59"/>
      <c r="AN21" s="59"/>
      <c r="AO21" s="59"/>
      <c r="AP21" s="59"/>
      <c r="AQ21" s="59"/>
      <c r="AR21" s="59"/>
      <c r="AS21" s="59"/>
      <c r="AT21" s="59"/>
      <c r="AU21" s="59"/>
      <c r="AV21" s="57" t="s">
        <v>323</v>
      </c>
      <c r="AW21" s="57" t="s">
        <v>322</v>
      </c>
      <c r="AX21" s="57" t="s">
        <v>1</v>
      </c>
      <c r="AY21" s="57" t="s">
        <v>322</v>
      </c>
      <c r="AZ21" s="59" t="s">
        <v>1</v>
      </c>
      <c r="BA21" s="57" t="s">
        <v>322</v>
      </c>
      <c r="BB21" s="59" t="s">
        <v>322</v>
      </c>
      <c r="BC21" s="57"/>
      <c r="BD21" s="57" t="s">
        <v>322</v>
      </c>
      <c r="BE21" s="59" t="s">
        <v>323</v>
      </c>
      <c r="BF21" s="57" t="s">
        <v>323</v>
      </c>
      <c r="BG21" s="57"/>
      <c r="BH21" s="57" t="s">
        <v>1</v>
      </c>
      <c r="BI21" s="57" t="s">
        <v>322</v>
      </c>
      <c r="BJ21" s="59" t="s">
        <v>1</v>
      </c>
      <c r="BK21" s="57" t="s">
        <v>0</v>
      </c>
      <c r="BL21" s="59" t="s">
        <v>1</v>
      </c>
      <c r="BM21" s="59"/>
      <c r="BN21" s="59" t="s">
        <v>362</v>
      </c>
      <c r="BO21" s="59" t="s">
        <v>105</v>
      </c>
      <c r="BP21" s="59"/>
      <c r="BQ21" s="59"/>
      <c r="BR21" s="59"/>
      <c r="BS21" s="57"/>
      <c r="BT21" s="57"/>
      <c r="BU21" s="57"/>
      <c r="BV21" s="59"/>
      <c r="BW21" s="57"/>
      <c r="BX21" s="57"/>
      <c r="BY21" s="57"/>
      <c r="BZ21" s="57"/>
    </row>
    <row r="22" spans="1:78"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row>
    <row r="23" spans="1:78"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row>
    <row r="24" spans="1:78" x14ac:dyDescent="0.2">
      <c r="A24" s="58"/>
    </row>
    <row r="25" spans="1:78" x14ac:dyDescent="0.2">
      <c r="A25" s="58"/>
    </row>
    <row r="26" spans="1:78" x14ac:dyDescent="0.2">
      <c r="A26" s="58"/>
    </row>
    <row r="27" spans="1:78" x14ac:dyDescent="0.2">
      <c r="A27" s="58"/>
    </row>
    <row r="28" spans="1:78" x14ac:dyDescent="0.2">
      <c r="A28" s="58"/>
    </row>
    <row r="29" spans="1:78" x14ac:dyDescent="0.2">
      <c r="A29" s="58"/>
    </row>
    <row r="30" spans="1:78" x14ac:dyDescent="0.2">
      <c r="A30" s="58"/>
    </row>
    <row r="31" spans="1:78" x14ac:dyDescent="0.2">
      <c r="A31" s="58"/>
    </row>
    <row r="32" spans="1:78" x14ac:dyDescent="0.2">
      <c r="A32" s="58"/>
    </row>
    <row r="33" spans="1:1" x14ac:dyDescent="0.2">
      <c r="A33" s="58"/>
    </row>
    <row r="34" spans="1:1" x14ac:dyDescent="0.2">
      <c r="A34" s="58"/>
    </row>
    <row r="35" spans="1:1" x14ac:dyDescent="0.2">
      <c r="A35" s="58"/>
    </row>
    <row r="36" spans="1:1" x14ac:dyDescent="0.2">
      <c r="A36" s="58"/>
    </row>
    <row r="37" spans="1:1" x14ac:dyDescent="0.2">
      <c r="A37" s="58"/>
    </row>
    <row r="38" spans="1:1" x14ac:dyDescent="0.2">
      <c r="A38" s="58"/>
    </row>
    <row r="39" spans="1:1" x14ac:dyDescent="0.2">
      <c r="A39" s="58"/>
    </row>
    <row r="40" spans="1:1" x14ac:dyDescent="0.2">
      <c r="A40" s="58"/>
    </row>
    <row r="41" spans="1:1" x14ac:dyDescent="0.2">
      <c r="A41" s="58"/>
    </row>
    <row r="42" spans="1:1" x14ac:dyDescent="0.2">
      <c r="A42" s="58"/>
    </row>
    <row r="43" spans="1:1" x14ac:dyDescent="0.2">
      <c r="A43" s="58"/>
    </row>
    <row r="44" spans="1:1" x14ac:dyDescent="0.2">
      <c r="A44" s="58"/>
    </row>
    <row r="45" spans="1:1" x14ac:dyDescent="0.2">
      <c r="A45" s="58"/>
    </row>
    <row r="46" spans="1:1" x14ac:dyDescent="0.2">
      <c r="A46" s="58"/>
    </row>
    <row r="47" spans="1:1" x14ac:dyDescent="0.2">
      <c r="A47" s="58"/>
    </row>
    <row r="48" spans="1:1" x14ac:dyDescent="0.2">
      <c r="A48" s="58"/>
    </row>
    <row r="49" spans="1:1" x14ac:dyDescent="0.2">
      <c r="A49" s="58"/>
    </row>
    <row r="50" spans="1:1" x14ac:dyDescent="0.2">
      <c r="A50" s="58"/>
    </row>
    <row r="51" spans="1:1" x14ac:dyDescent="0.2">
      <c r="A51" s="58"/>
    </row>
    <row r="52" spans="1:1" x14ac:dyDescent="0.2">
      <c r="A52" s="58"/>
    </row>
    <row r="53" spans="1:1" x14ac:dyDescent="0.2">
      <c r="A53" s="58"/>
    </row>
    <row r="54" spans="1:1" x14ac:dyDescent="0.2">
      <c r="A54" s="58"/>
    </row>
    <row r="55" spans="1:1" x14ac:dyDescent="0.2">
      <c r="A55" s="58"/>
    </row>
    <row r="56" spans="1:1" x14ac:dyDescent="0.2">
      <c r="A56" s="58"/>
    </row>
    <row r="57" spans="1:1" x14ac:dyDescent="0.2">
      <c r="A57" s="58"/>
    </row>
    <row r="58" spans="1:1" x14ac:dyDescent="0.2">
      <c r="A58" s="58"/>
    </row>
    <row r="59" spans="1:1" x14ac:dyDescent="0.2">
      <c r="A59" s="58"/>
    </row>
    <row r="60" spans="1:1" x14ac:dyDescent="0.2">
      <c r="A60" s="58"/>
    </row>
    <row r="61" spans="1:1" x14ac:dyDescent="0.2">
      <c r="A61" s="58"/>
    </row>
    <row r="62" spans="1:1" x14ac:dyDescent="0.2">
      <c r="A62" s="58"/>
    </row>
    <row r="63" spans="1:1" x14ac:dyDescent="0.2">
      <c r="A63" s="58"/>
    </row>
    <row r="64" spans="1:1" x14ac:dyDescent="0.2">
      <c r="A64" s="58"/>
    </row>
    <row r="65" spans="1:1" x14ac:dyDescent="0.2">
      <c r="A65" s="58"/>
    </row>
    <row r="66" spans="1:1" x14ac:dyDescent="0.2">
      <c r="A66" s="58"/>
    </row>
    <row r="67" spans="1:1" x14ac:dyDescent="0.2">
      <c r="A67" s="58"/>
    </row>
    <row r="68" spans="1:1" x14ac:dyDescent="0.2">
      <c r="A68" s="58"/>
    </row>
    <row r="69" spans="1:1" x14ac:dyDescent="0.2">
      <c r="A69" s="58"/>
    </row>
    <row r="70" spans="1:1" x14ac:dyDescent="0.2">
      <c r="A70" s="58"/>
    </row>
    <row r="71" spans="1:1" x14ac:dyDescent="0.2">
      <c r="A71" s="58"/>
    </row>
    <row r="72" spans="1:1" x14ac:dyDescent="0.2">
      <c r="A72" s="58"/>
    </row>
    <row r="73" spans="1:1" x14ac:dyDescent="0.2">
      <c r="A73" s="58"/>
    </row>
    <row r="74" spans="1:1" x14ac:dyDescent="0.2">
      <c r="A74" s="58"/>
    </row>
    <row r="75" spans="1:1" x14ac:dyDescent="0.2">
      <c r="A75" s="58"/>
    </row>
    <row r="76" spans="1:1" x14ac:dyDescent="0.2">
      <c r="A76" s="58"/>
    </row>
    <row r="77" spans="1:1" x14ac:dyDescent="0.2">
      <c r="A77" s="58"/>
    </row>
    <row r="78" spans="1:1" x14ac:dyDescent="0.2">
      <c r="A78" s="58"/>
    </row>
    <row r="79" spans="1:1" x14ac:dyDescent="0.2">
      <c r="A79" s="58"/>
    </row>
    <row r="80" spans="1:1" x14ac:dyDescent="0.2">
      <c r="A80" s="58"/>
    </row>
    <row r="81" spans="1:1" x14ac:dyDescent="0.2">
      <c r="A81" s="58"/>
    </row>
    <row r="82" spans="1:1" x14ac:dyDescent="0.2">
      <c r="A82" s="58"/>
    </row>
    <row r="83" spans="1:1" x14ac:dyDescent="0.2">
      <c r="A83" s="58"/>
    </row>
    <row r="84" spans="1:1" x14ac:dyDescent="0.2">
      <c r="A84" s="58"/>
    </row>
    <row r="85" spans="1:1" x14ac:dyDescent="0.2">
      <c r="A85" s="58"/>
    </row>
    <row r="86" spans="1:1" x14ac:dyDescent="0.2">
      <c r="A86" s="58"/>
    </row>
    <row r="87" spans="1:1" x14ac:dyDescent="0.2">
      <c r="A87" s="58"/>
    </row>
    <row r="88" spans="1:1" x14ac:dyDescent="0.2">
      <c r="A88" s="58"/>
    </row>
    <row r="89" spans="1:1" x14ac:dyDescent="0.2">
      <c r="A89" s="58"/>
    </row>
    <row r="90" spans="1:1" x14ac:dyDescent="0.2">
      <c r="A90" s="58"/>
    </row>
    <row r="91" spans="1:1" x14ac:dyDescent="0.2">
      <c r="A91" s="58"/>
    </row>
    <row r="92" spans="1:1" x14ac:dyDescent="0.2">
      <c r="A92" s="58"/>
    </row>
    <row r="93" spans="1:1" x14ac:dyDescent="0.2">
      <c r="A93" s="58"/>
    </row>
    <row r="94" spans="1:1" x14ac:dyDescent="0.2">
      <c r="A94" s="58"/>
    </row>
    <row r="95" spans="1:1" x14ac:dyDescent="0.2">
      <c r="A95" s="58"/>
    </row>
    <row r="96" spans="1:1" x14ac:dyDescent="0.2">
      <c r="A96" s="58"/>
    </row>
    <row r="97" spans="1:1" x14ac:dyDescent="0.2">
      <c r="A97" s="58"/>
    </row>
    <row r="98" spans="1:1" x14ac:dyDescent="0.2">
      <c r="A98" s="58"/>
    </row>
  </sheetData>
  <printOptions horizontalCentered="1" gridLines="1"/>
  <pageMargins left="0.25" right="0.25" top="0.75" bottom="0.75" header="0.3" footer="0.3"/>
  <pageSetup paperSize="9" scale="10" fitToHeight="0" orientation="landscape" cellComments="atEnd" horizontalDpi="300" verticalDpi="300" r:id="rId1"/>
  <headerFooter alignWithMargins="0">
    <oddHeader>&amp;L&amp;"Arial,B</oddHeader>
    <oddFooter xml:space="preserve">&amp;C&amp;&amp;L&amp;9Author: &amp;R&amp;9Printed: </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pageSetUpPr fitToPage="1"/>
  </sheetPr>
  <dimension ref="A1:M170"/>
  <sheetViews>
    <sheetView zoomScaleNormal="100" workbookViewId="0">
      <pane xSplit="1" ySplit="2" topLeftCell="B4" activePane="bottomRight" state="frozen"/>
      <selection pane="topRight" activeCell="B1" sqref="B1"/>
      <selection pane="bottomLeft" activeCell="A3" sqref="A3"/>
      <selection pane="bottomRight" activeCell="D20" sqref="D20"/>
    </sheetView>
  </sheetViews>
  <sheetFormatPr defaultRowHeight="12.75" x14ac:dyDescent="0.2"/>
  <cols>
    <col min="1" max="1" width="11.140625" style="39" customWidth="1"/>
    <col min="2" max="2" width="24.28515625" style="50" bestFit="1" customWidth="1"/>
    <col min="3" max="3" width="42.7109375" style="52" customWidth="1"/>
    <col min="4" max="4" width="38.5703125" style="41" customWidth="1"/>
    <col min="5" max="5" width="22" style="50" customWidth="1"/>
    <col min="6" max="6" width="34.140625" style="41" customWidth="1"/>
    <col min="7" max="7" width="76.7109375" style="39" customWidth="1"/>
    <col min="8" max="8" width="9.140625" style="39"/>
    <col min="9" max="9" width="34.42578125" style="39" customWidth="1"/>
    <col min="10" max="10" width="17" style="39" bestFit="1" customWidth="1"/>
    <col min="11" max="11" width="135.5703125" style="39" bestFit="1" customWidth="1"/>
    <col min="12" max="16384" width="9.140625" style="39"/>
  </cols>
  <sheetData>
    <row r="1" spans="1:6" s="44" customFormat="1" ht="25.5" x14ac:dyDescent="0.2">
      <c r="A1" s="43" t="s">
        <v>106</v>
      </c>
      <c r="B1" s="45">
        <v>9</v>
      </c>
      <c r="C1" s="51"/>
      <c r="D1" s="46">
        <v>9</v>
      </c>
      <c r="E1" s="45">
        <v>8</v>
      </c>
      <c r="F1" s="46">
        <v>8</v>
      </c>
    </row>
    <row r="2" spans="1:6" s="47" customFormat="1" ht="25.5" x14ac:dyDescent="0.2">
      <c r="A2" s="38" t="s">
        <v>200</v>
      </c>
      <c r="B2" s="48" t="s">
        <v>201</v>
      </c>
      <c r="C2" s="53" t="s">
        <v>313</v>
      </c>
      <c r="D2" s="49" t="s">
        <v>233</v>
      </c>
      <c r="E2" s="48" t="s">
        <v>201</v>
      </c>
      <c r="F2" s="49" t="s">
        <v>233</v>
      </c>
    </row>
    <row r="3" spans="1:6" hidden="1" x14ac:dyDescent="0.2">
      <c r="A3" s="42">
        <v>1</v>
      </c>
      <c r="B3" s="50" t="s">
        <v>308</v>
      </c>
      <c r="D3" s="41" t="s">
        <v>202</v>
      </c>
      <c r="F3" s="41" t="s">
        <v>202</v>
      </c>
    </row>
    <row r="4" spans="1:6" x14ac:dyDescent="0.2">
      <c r="A4" s="42">
        <v>2</v>
      </c>
      <c r="B4" s="50" t="s">
        <v>17</v>
      </c>
      <c r="C4" s="52" t="s">
        <v>125</v>
      </c>
      <c r="D4" s="41" t="s">
        <v>203</v>
      </c>
      <c r="E4" s="50" t="s">
        <v>17</v>
      </c>
      <c r="F4" s="41" t="s">
        <v>203</v>
      </c>
    </row>
    <row r="5" spans="1:6" hidden="1" x14ac:dyDescent="0.2">
      <c r="A5" s="42">
        <v>3</v>
      </c>
      <c r="B5" s="50" t="s">
        <v>308</v>
      </c>
      <c r="D5" s="41" t="s">
        <v>202</v>
      </c>
      <c r="F5" s="41" t="s">
        <v>202</v>
      </c>
    </row>
    <row r="6" spans="1:6" x14ac:dyDescent="0.2">
      <c r="A6" s="42">
        <v>4</v>
      </c>
      <c r="B6" s="50" t="s">
        <v>204</v>
      </c>
      <c r="C6" s="52" t="s">
        <v>4</v>
      </c>
      <c r="D6" s="41" t="s">
        <v>205</v>
      </c>
      <c r="E6" s="50" t="s">
        <v>204</v>
      </c>
      <c r="F6" s="41" t="s">
        <v>205</v>
      </c>
    </row>
    <row r="7" spans="1:6" x14ac:dyDescent="0.2">
      <c r="A7" s="42">
        <v>5</v>
      </c>
      <c r="B7" s="50" t="s">
        <v>206</v>
      </c>
      <c r="D7" s="41" t="s">
        <v>207</v>
      </c>
      <c r="E7" s="50" t="s">
        <v>206</v>
      </c>
      <c r="F7" s="41" t="s">
        <v>207</v>
      </c>
    </row>
    <row r="8" spans="1:6" hidden="1" x14ac:dyDescent="0.2">
      <c r="A8" s="42">
        <v>6</v>
      </c>
      <c r="B8" s="50" t="s">
        <v>308</v>
      </c>
      <c r="D8" s="41" t="s">
        <v>202</v>
      </c>
      <c r="F8" s="41" t="s">
        <v>202</v>
      </c>
    </row>
    <row r="9" spans="1:6" x14ac:dyDescent="0.2">
      <c r="A9" s="42">
        <v>7</v>
      </c>
      <c r="B9" s="50" t="s">
        <v>204</v>
      </c>
      <c r="C9" s="52" t="s">
        <v>4</v>
      </c>
      <c r="D9" s="41" t="s">
        <v>205</v>
      </c>
      <c r="E9" s="50" t="s">
        <v>204</v>
      </c>
      <c r="F9" s="41" t="s">
        <v>205</v>
      </c>
    </row>
    <row r="10" spans="1:6" hidden="1" x14ac:dyDescent="0.2">
      <c r="A10" s="42">
        <v>8</v>
      </c>
      <c r="B10" s="50" t="s">
        <v>308</v>
      </c>
      <c r="D10" s="41" t="s">
        <v>202</v>
      </c>
      <c r="F10" s="41" t="s">
        <v>202</v>
      </c>
    </row>
    <row r="11" spans="1:6" x14ac:dyDescent="0.2">
      <c r="A11" s="42">
        <v>9</v>
      </c>
      <c r="B11" s="50" t="s">
        <v>17</v>
      </c>
      <c r="C11" s="52" t="s">
        <v>125</v>
      </c>
      <c r="D11" s="41" t="s">
        <v>203</v>
      </c>
      <c r="E11" s="50" t="s">
        <v>17</v>
      </c>
      <c r="F11" s="41" t="s">
        <v>203</v>
      </c>
    </row>
    <row r="12" spans="1:6" hidden="1" x14ac:dyDescent="0.2">
      <c r="A12" s="42">
        <v>10</v>
      </c>
      <c r="B12" s="50" t="s">
        <v>308</v>
      </c>
      <c r="D12" s="41" t="s">
        <v>202</v>
      </c>
      <c r="F12" s="41" t="s">
        <v>202</v>
      </c>
    </row>
    <row r="13" spans="1:6" x14ac:dyDescent="0.2">
      <c r="A13" s="42">
        <v>11</v>
      </c>
      <c r="B13" s="50" t="s">
        <v>154</v>
      </c>
      <c r="C13" s="52" t="s">
        <v>37</v>
      </c>
      <c r="D13" s="41" t="s">
        <v>154</v>
      </c>
      <c r="E13" s="50" t="s">
        <v>154</v>
      </c>
      <c r="F13" s="41" t="s">
        <v>154</v>
      </c>
    </row>
    <row r="14" spans="1:6" x14ac:dyDescent="0.2">
      <c r="A14" s="42">
        <v>12</v>
      </c>
      <c r="B14" s="50" t="s">
        <v>155</v>
      </c>
      <c r="D14" s="41" t="s">
        <v>202</v>
      </c>
      <c r="E14" s="50" t="s">
        <v>155</v>
      </c>
      <c r="F14" s="41" t="s">
        <v>202</v>
      </c>
    </row>
    <row r="15" spans="1:6" hidden="1" x14ac:dyDescent="0.2">
      <c r="A15" s="42">
        <v>13</v>
      </c>
      <c r="B15" s="50" t="s">
        <v>308</v>
      </c>
      <c r="D15" s="41" t="s">
        <v>202</v>
      </c>
      <c r="F15" s="41" t="s">
        <v>202</v>
      </c>
    </row>
    <row r="16" spans="1:6" x14ac:dyDescent="0.2">
      <c r="A16" s="42">
        <v>14</v>
      </c>
      <c r="B16" s="50" t="s">
        <v>246</v>
      </c>
      <c r="C16" s="52" t="s">
        <v>38</v>
      </c>
      <c r="D16" s="41" t="s">
        <v>202</v>
      </c>
      <c r="F16" s="41" t="s">
        <v>202</v>
      </c>
    </row>
    <row r="17" spans="1:13" hidden="1" x14ac:dyDescent="0.2">
      <c r="A17" s="42">
        <v>15</v>
      </c>
      <c r="B17" s="50" t="s">
        <v>308</v>
      </c>
      <c r="D17" s="41" t="s">
        <v>202</v>
      </c>
      <c r="F17" s="41" t="s">
        <v>202</v>
      </c>
    </row>
    <row r="18" spans="1:13" x14ac:dyDescent="0.2">
      <c r="A18" s="42">
        <v>16</v>
      </c>
      <c r="B18" s="50" t="s">
        <v>247</v>
      </c>
      <c r="C18" s="52" t="s">
        <v>39</v>
      </c>
      <c r="D18" s="41" t="s">
        <v>202</v>
      </c>
      <c r="F18" s="41" t="s">
        <v>202</v>
      </c>
      <c r="L18" s="39" t="s">
        <v>234</v>
      </c>
      <c r="M18" s="39" t="s">
        <v>235</v>
      </c>
    </row>
    <row r="19" spans="1:13" hidden="1" x14ac:dyDescent="0.2">
      <c r="A19" s="42">
        <v>17</v>
      </c>
      <c r="B19" s="50" t="s">
        <v>308</v>
      </c>
      <c r="D19" s="41" t="s">
        <v>202</v>
      </c>
      <c r="F19" s="41" t="s">
        <v>202</v>
      </c>
    </row>
    <row r="20" spans="1:13" x14ac:dyDescent="0.2">
      <c r="A20" s="42">
        <v>18</v>
      </c>
      <c r="B20" s="50" t="s">
        <v>249</v>
      </c>
      <c r="C20" s="52" t="s">
        <v>40</v>
      </c>
      <c r="D20" s="41" t="s">
        <v>202</v>
      </c>
      <c r="F20" s="41" t="s">
        <v>202</v>
      </c>
    </row>
    <row r="21" spans="1:13" x14ac:dyDescent="0.2">
      <c r="A21" s="42">
        <v>19</v>
      </c>
      <c r="B21" s="50" t="s">
        <v>248</v>
      </c>
      <c r="C21" s="52" t="s">
        <v>41</v>
      </c>
      <c r="D21" s="41" t="s">
        <v>202</v>
      </c>
      <c r="F21" s="41" t="s">
        <v>202</v>
      </c>
    </row>
    <row r="22" spans="1:13" hidden="1" x14ac:dyDescent="0.2">
      <c r="A22" s="42">
        <v>20</v>
      </c>
      <c r="B22" s="50" t="s">
        <v>308</v>
      </c>
      <c r="D22" s="41" t="s">
        <v>202</v>
      </c>
      <c r="F22" s="41" t="s">
        <v>202</v>
      </c>
    </row>
    <row r="23" spans="1:13" x14ac:dyDescent="0.2">
      <c r="A23" s="42">
        <v>21</v>
      </c>
      <c r="B23" s="50" t="s">
        <v>250</v>
      </c>
      <c r="C23" s="52" t="s">
        <v>42</v>
      </c>
      <c r="D23" s="41" t="s">
        <v>208</v>
      </c>
      <c r="F23" s="41" t="s">
        <v>208</v>
      </c>
    </row>
    <row r="24" spans="1:13" hidden="1" x14ac:dyDescent="0.2">
      <c r="A24" s="42">
        <v>22</v>
      </c>
      <c r="B24" s="50" t="s">
        <v>308</v>
      </c>
      <c r="D24" s="41" t="s">
        <v>202</v>
      </c>
      <c r="F24" s="41" t="s">
        <v>202</v>
      </c>
    </row>
    <row r="25" spans="1:13" x14ac:dyDescent="0.2">
      <c r="A25" s="42">
        <v>23</v>
      </c>
      <c r="B25" s="50" t="s">
        <v>251</v>
      </c>
      <c r="C25" s="52" t="s">
        <v>53</v>
      </c>
      <c r="D25" s="41" t="s">
        <v>208</v>
      </c>
      <c r="F25" s="41" t="s">
        <v>208</v>
      </c>
    </row>
    <row r="26" spans="1:13" hidden="1" x14ac:dyDescent="0.2">
      <c r="A26" s="42">
        <v>24</v>
      </c>
      <c r="B26" s="50" t="s">
        <v>308</v>
      </c>
      <c r="D26" s="41" t="s">
        <v>202</v>
      </c>
      <c r="F26" s="41" t="s">
        <v>202</v>
      </c>
    </row>
    <row r="27" spans="1:13" hidden="1" x14ac:dyDescent="0.2">
      <c r="A27" s="42">
        <v>25</v>
      </c>
      <c r="B27" s="50" t="s">
        <v>308</v>
      </c>
      <c r="D27" s="41" t="s">
        <v>202</v>
      </c>
      <c r="F27" s="41" t="s">
        <v>202</v>
      </c>
    </row>
    <row r="28" spans="1:13" x14ac:dyDescent="0.2">
      <c r="A28" s="42">
        <v>26</v>
      </c>
      <c r="B28" s="50" t="s">
        <v>8</v>
      </c>
      <c r="C28" s="52" t="s">
        <v>6</v>
      </c>
      <c r="D28" s="41" t="s">
        <v>208</v>
      </c>
      <c r="E28" s="50" t="s">
        <v>8</v>
      </c>
      <c r="F28" s="41" t="s">
        <v>208</v>
      </c>
    </row>
    <row r="29" spans="1:13" hidden="1" x14ac:dyDescent="0.2">
      <c r="A29" s="42">
        <v>27</v>
      </c>
      <c r="B29" s="50" t="s">
        <v>308</v>
      </c>
      <c r="D29" s="41" t="s">
        <v>202</v>
      </c>
      <c r="F29" s="41" t="s">
        <v>202</v>
      </c>
    </row>
    <row r="30" spans="1:13" x14ac:dyDescent="0.2">
      <c r="A30" s="42">
        <v>28</v>
      </c>
      <c r="B30" s="50" t="s">
        <v>252</v>
      </c>
      <c r="C30" s="52" t="s">
        <v>69</v>
      </c>
      <c r="D30" s="41" t="s">
        <v>208</v>
      </c>
      <c r="F30" s="41" t="s">
        <v>208</v>
      </c>
    </row>
    <row r="31" spans="1:13" hidden="1" x14ac:dyDescent="0.2">
      <c r="A31" s="42">
        <v>29</v>
      </c>
      <c r="B31" s="50" t="s">
        <v>308</v>
      </c>
      <c r="D31" s="41" t="s">
        <v>202</v>
      </c>
      <c r="F31" s="41" t="s">
        <v>202</v>
      </c>
    </row>
    <row r="32" spans="1:13" x14ac:dyDescent="0.2">
      <c r="A32" s="42">
        <v>30</v>
      </c>
      <c r="B32" s="50" t="s">
        <v>253</v>
      </c>
      <c r="C32" s="52" t="s">
        <v>73</v>
      </c>
      <c r="D32" s="41" t="s">
        <v>208</v>
      </c>
      <c r="F32" s="41" t="s">
        <v>208</v>
      </c>
    </row>
    <row r="33" spans="1:12" hidden="1" x14ac:dyDescent="0.2">
      <c r="A33" s="42">
        <v>31</v>
      </c>
      <c r="B33" s="50" t="s">
        <v>308</v>
      </c>
      <c r="D33" s="41" t="s">
        <v>202</v>
      </c>
      <c r="F33" s="41" t="s">
        <v>202</v>
      </c>
    </row>
    <row r="34" spans="1:12" hidden="1" x14ac:dyDescent="0.2">
      <c r="A34" s="42">
        <v>32</v>
      </c>
      <c r="B34" s="50" t="s">
        <v>308</v>
      </c>
      <c r="D34" s="41" t="s">
        <v>202</v>
      </c>
      <c r="F34" s="41" t="s">
        <v>202</v>
      </c>
    </row>
    <row r="35" spans="1:12" x14ac:dyDescent="0.2">
      <c r="A35" s="42">
        <v>33</v>
      </c>
      <c r="B35" s="50" t="s">
        <v>209</v>
      </c>
      <c r="C35" s="52" t="s">
        <v>5</v>
      </c>
      <c r="D35" s="41" t="s">
        <v>208</v>
      </c>
      <c r="E35" s="50" t="s">
        <v>209</v>
      </c>
      <c r="F35" s="41" t="s">
        <v>208</v>
      </c>
    </row>
    <row r="36" spans="1:12" x14ac:dyDescent="0.2">
      <c r="A36" s="42">
        <v>34</v>
      </c>
      <c r="B36" s="50" t="s">
        <v>210</v>
      </c>
      <c r="C36" s="52" t="s">
        <v>45</v>
      </c>
      <c r="D36" s="41" t="s">
        <v>211</v>
      </c>
      <c r="E36" s="50" t="s">
        <v>210</v>
      </c>
      <c r="F36" s="41" t="s">
        <v>211</v>
      </c>
    </row>
    <row r="37" spans="1:12" x14ac:dyDescent="0.2">
      <c r="A37" s="42">
        <v>35</v>
      </c>
      <c r="B37" s="50" t="s">
        <v>212</v>
      </c>
      <c r="C37" s="52" t="s">
        <v>3</v>
      </c>
      <c r="D37" s="41" t="s">
        <v>213</v>
      </c>
      <c r="E37" s="50" t="s">
        <v>212</v>
      </c>
      <c r="F37" s="41" t="s">
        <v>213</v>
      </c>
    </row>
    <row r="38" spans="1:12" x14ac:dyDescent="0.2">
      <c r="A38" s="42">
        <v>36</v>
      </c>
      <c r="B38" s="50" t="s">
        <v>214</v>
      </c>
      <c r="C38" s="52" t="s">
        <v>2</v>
      </c>
      <c r="D38" s="41" t="s">
        <v>215</v>
      </c>
      <c r="E38" s="50" t="s">
        <v>214</v>
      </c>
      <c r="F38" s="41" t="s">
        <v>215</v>
      </c>
    </row>
    <row r="39" spans="1:12" hidden="1" x14ac:dyDescent="0.2">
      <c r="A39" s="42">
        <v>37</v>
      </c>
      <c r="B39" s="50" t="s">
        <v>308</v>
      </c>
      <c r="D39" s="41" t="s">
        <v>202</v>
      </c>
      <c r="F39" s="41" t="s">
        <v>202</v>
      </c>
    </row>
    <row r="40" spans="1:12" x14ac:dyDescent="0.2">
      <c r="A40" s="42">
        <v>38</v>
      </c>
      <c r="B40" s="50" t="s">
        <v>254</v>
      </c>
      <c r="D40" s="41" t="s">
        <v>202</v>
      </c>
      <c r="F40" s="41" t="s">
        <v>202</v>
      </c>
      <c r="L40" s="39" t="s">
        <v>236</v>
      </c>
    </row>
    <row r="41" spans="1:12" hidden="1" x14ac:dyDescent="0.2">
      <c r="A41" s="42">
        <v>39</v>
      </c>
      <c r="B41" s="50" t="s">
        <v>308</v>
      </c>
      <c r="D41" s="41" t="s">
        <v>202</v>
      </c>
      <c r="F41" s="41" t="s">
        <v>202</v>
      </c>
      <c r="I41" s="54"/>
      <c r="K41" s="40"/>
    </row>
    <row r="42" spans="1:12" hidden="1" x14ac:dyDescent="0.2">
      <c r="A42" s="42">
        <v>40</v>
      </c>
      <c r="B42" s="50" t="s">
        <v>308</v>
      </c>
      <c r="D42" s="41" t="s">
        <v>202</v>
      </c>
      <c r="F42" s="41" t="s">
        <v>202</v>
      </c>
      <c r="I42" s="54"/>
      <c r="K42" s="40"/>
    </row>
    <row r="43" spans="1:12" hidden="1" x14ac:dyDescent="0.2">
      <c r="A43" s="42">
        <v>41</v>
      </c>
      <c r="B43" s="50" t="s">
        <v>308</v>
      </c>
      <c r="D43" s="41" t="s">
        <v>202</v>
      </c>
      <c r="F43" s="41" t="s">
        <v>202</v>
      </c>
    </row>
    <row r="44" spans="1:12" hidden="1" x14ac:dyDescent="0.2">
      <c r="A44" s="42">
        <v>42</v>
      </c>
      <c r="B44" s="50" t="s">
        <v>308</v>
      </c>
      <c r="D44" s="41" t="s">
        <v>202</v>
      </c>
      <c r="F44" s="41" t="s">
        <v>202</v>
      </c>
    </row>
    <row r="45" spans="1:12" hidden="1" x14ac:dyDescent="0.2">
      <c r="A45" s="42">
        <v>43</v>
      </c>
      <c r="B45" s="50" t="s">
        <v>308</v>
      </c>
      <c r="D45" s="41" t="s">
        <v>202</v>
      </c>
      <c r="F45" s="41" t="s">
        <v>202</v>
      </c>
    </row>
    <row r="46" spans="1:12" hidden="1" x14ac:dyDescent="0.2">
      <c r="A46" s="42">
        <v>44</v>
      </c>
      <c r="B46" s="50" t="s">
        <v>308</v>
      </c>
      <c r="D46" s="41" t="s">
        <v>202</v>
      </c>
      <c r="F46" s="41" t="s">
        <v>202</v>
      </c>
      <c r="I46" s="54"/>
      <c r="K46" s="40"/>
    </row>
    <row r="47" spans="1:12" hidden="1" x14ac:dyDescent="0.2">
      <c r="A47" s="42">
        <v>45</v>
      </c>
      <c r="B47" s="50" t="s">
        <v>308</v>
      </c>
      <c r="D47" s="41" t="s">
        <v>202</v>
      </c>
      <c r="F47" s="41" t="s">
        <v>202</v>
      </c>
      <c r="I47" s="54"/>
      <c r="K47" s="40"/>
    </row>
    <row r="48" spans="1:12" hidden="1" x14ac:dyDescent="0.2">
      <c r="A48" s="42">
        <v>46</v>
      </c>
      <c r="B48" s="50" t="s">
        <v>308</v>
      </c>
      <c r="D48" s="41" t="s">
        <v>202</v>
      </c>
      <c r="F48" s="41" t="s">
        <v>202</v>
      </c>
      <c r="I48" s="54"/>
      <c r="K48" s="40"/>
    </row>
    <row r="49" spans="1:12" hidden="1" x14ac:dyDescent="0.2">
      <c r="A49" s="42">
        <v>47</v>
      </c>
      <c r="B49" s="50" t="s">
        <v>308</v>
      </c>
      <c r="D49" s="41" t="s">
        <v>202</v>
      </c>
      <c r="F49" s="41" t="s">
        <v>202</v>
      </c>
      <c r="I49" s="54"/>
      <c r="K49" s="40"/>
      <c r="L49" s="39" t="s">
        <v>237</v>
      </c>
    </row>
    <row r="50" spans="1:12" hidden="1" x14ac:dyDescent="0.2">
      <c r="A50" s="42">
        <v>48</v>
      </c>
      <c r="B50" s="50" t="s">
        <v>308</v>
      </c>
      <c r="D50" s="41" t="s">
        <v>202</v>
      </c>
      <c r="F50" s="41" t="s">
        <v>208</v>
      </c>
      <c r="I50" s="54"/>
      <c r="K50" s="40"/>
    </row>
    <row r="51" spans="1:12" hidden="1" x14ac:dyDescent="0.2">
      <c r="A51" s="42">
        <v>49</v>
      </c>
      <c r="B51" s="50" t="s">
        <v>308</v>
      </c>
      <c r="D51" s="41" t="s">
        <v>202</v>
      </c>
      <c r="F51" s="41" t="s">
        <v>202</v>
      </c>
      <c r="L51" s="39" t="s">
        <v>238</v>
      </c>
    </row>
    <row r="52" spans="1:12" x14ac:dyDescent="0.2">
      <c r="A52" s="42">
        <v>50</v>
      </c>
      <c r="B52" s="50" t="s">
        <v>255</v>
      </c>
      <c r="C52" s="52" t="s">
        <v>46</v>
      </c>
      <c r="D52" s="41" t="s">
        <v>208</v>
      </c>
      <c r="F52" s="41" t="s">
        <v>208</v>
      </c>
    </row>
    <row r="53" spans="1:12" hidden="1" x14ac:dyDescent="0.2">
      <c r="A53" s="42">
        <v>51</v>
      </c>
      <c r="B53" s="50" t="s">
        <v>308</v>
      </c>
      <c r="D53" s="41" t="s">
        <v>202</v>
      </c>
      <c r="F53" s="41" t="s">
        <v>202</v>
      </c>
    </row>
    <row r="54" spans="1:12" x14ac:dyDescent="0.2">
      <c r="A54" s="42">
        <v>52</v>
      </c>
      <c r="B54" s="50" t="s">
        <v>256</v>
      </c>
      <c r="C54" s="52" t="s">
        <v>47</v>
      </c>
      <c r="D54" s="41" t="s">
        <v>208</v>
      </c>
      <c r="F54" s="41" t="s">
        <v>208</v>
      </c>
    </row>
    <row r="55" spans="1:12" hidden="1" x14ac:dyDescent="0.2">
      <c r="A55" s="42">
        <v>53</v>
      </c>
      <c r="B55" s="50" t="s">
        <v>308</v>
      </c>
      <c r="D55" s="41" t="s">
        <v>202</v>
      </c>
      <c r="F55" s="41" t="s">
        <v>202</v>
      </c>
    </row>
    <row r="56" spans="1:12" x14ac:dyDescent="0.2">
      <c r="A56" s="42">
        <v>54</v>
      </c>
      <c r="B56" s="50" t="s">
        <v>257</v>
      </c>
      <c r="C56" s="52" t="s">
        <v>49</v>
      </c>
      <c r="D56" s="41" t="s">
        <v>216</v>
      </c>
      <c r="F56" s="41" t="s">
        <v>216</v>
      </c>
    </row>
    <row r="57" spans="1:12" hidden="1" x14ac:dyDescent="0.2">
      <c r="A57" s="42">
        <v>55</v>
      </c>
      <c r="B57" s="50" t="s">
        <v>308</v>
      </c>
      <c r="D57" s="41" t="s">
        <v>202</v>
      </c>
      <c r="F57" s="41" t="s">
        <v>202</v>
      </c>
    </row>
    <row r="58" spans="1:12" hidden="1" x14ac:dyDescent="0.2">
      <c r="A58" s="42">
        <v>56</v>
      </c>
      <c r="B58" s="50" t="s">
        <v>308</v>
      </c>
      <c r="D58" s="41" t="s">
        <v>202</v>
      </c>
      <c r="F58" s="41" t="s">
        <v>202</v>
      </c>
    </row>
    <row r="59" spans="1:12" hidden="1" x14ac:dyDescent="0.2">
      <c r="A59" s="42">
        <v>57</v>
      </c>
      <c r="B59" s="50" t="s">
        <v>308</v>
      </c>
      <c r="D59" s="41" t="s">
        <v>202</v>
      </c>
      <c r="F59" s="41" t="s">
        <v>202</v>
      </c>
      <c r="I59" s="54"/>
      <c r="K59" s="40"/>
    </row>
    <row r="60" spans="1:12" hidden="1" x14ac:dyDescent="0.2">
      <c r="A60" s="42">
        <v>58</v>
      </c>
      <c r="B60" s="50" t="s">
        <v>308</v>
      </c>
      <c r="D60" s="41" t="s">
        <v>202</v>
      </c>
      <c r="F60" s="41" t="s">
        <v>202</v>
      </c>
    </row>
    <row r="61" spans="1:12" hidden="1" x14ac:dyDescent="0.2">
      <c r="A61" s="42">
        <v>59</v>
      </c>
      <c r="B61" s="50" t="s">
        <v>308</v>
      </c>
      <c r="D61" s="41" t="s">
        <v>202</v>
      </c>
      <c r="F61" s="41" t="s">
        <v>202</v>
      </c>
      <c r="I61" s="54"/>
      <c r="K61" s="40"/>
    </row>
    <row r="62" spans="1:12" hidden="1" x14ac:dyDescent="0.2">
      <c r="A62" s="42">
        <v>60</v>
      </c>
      <c r="B62" s="50" t="s">
        <v>308</v>
      </c>
      <c r="D62" s="41" t="s">
        <v>202</v>
      </c>
      <c r="F62" s="41" t="s">
        <v>202</v>
      </c>
      <c r="I62" s="54"/>
      <c r="K62" s="40"/>
    </row>
    <row r="63" spans="1:12" hidden="1" x14ac:dyDescent="0.2">
      <c r="A63" s="42">
        <v>61</v>
      </c>
      <c r="B63" s="50" t="s">
        <v>308</v>
      </c>
      <c r="D63" s="41" t="s">
        <v>202</v>
      </c>
      <c r="F63" s="41" t="s">
        <v>202</v>
      </c>
    </row>
    <row r="64" spans="1:12" hidden="1" x14ac:dyDescent="0.2">
      <c r="A64" s="42">
        <v>62</v>
      </c>
      <c r="B64" s="50" t="s">
        <v>308</v>
      </c>
      <c r="D64" s="41" t="s">
        <v>202</v>
      </c>
      <c r="F64" s="41" t="s">
        <v>202</v>
      </c>
    </row>
    <row r="65" spans="1:12" hidden="1" x14ac:dyDescent="0.2">
      <c r="A65" s="42">
        <v>63</v>
      </c>
      <c r="B65" s="50" t="s">
        <v>308</v>
      </c>
      <c r="D65" s="41" t="s">
        <v>202</v>
      </c>
      <c r="F65" s="41" t="s">
        <v>202</v>
      </c>
      <c r="L65" s="39" t="s">
        <v>239</v>
      </c>
    </row>
    <row r="66" spans="1:12" x14ac:dyDescent="0.2">
      <c r="A66" s="42">
        <v>64</v>
      </c>
      <c r="B66" s="50" t="s">
        <v>282</v>
      </c>
      <c r="C66" s="52" t="s">
        <v>42</v>
      </c>
      <c r="D66" s="41" t="s">
        <v>208</v>
      </c>
      <c r="F66" s="41" t="s">
        <v>208</v>
      </c>
    </row>
    <row r="67" spans="1:12" hidden="1" x14ac:dyDescent="0.2">
      <c r="A67" s="42">
        <v>65</v>
      </c>
      <c r="B67" s="50" t="s">
        <v>308</v>
      </c>
      <c r="D67" s="41" t="s">
        <v>202</v>
      </c>
      <c r="F67" s="41" t="s">
        <v>202</v>
      </c>
    </row>
    <row r="68" spans="1:12" x14ac:dyDescent="0.2">
      <c r="A68" s="42">
        <v>66</v>
      </c>
      <c r="B68" s="50" t="s">
        <v>284</v>
      </c>
      <c r="C68" s="52" t="s">
        <v>51</v>
      </c>
      <c r="D68" s="41" t="s">
        <v>208</v>
      </c>
      <c r="F68" s="41" t="s">
        <v>208</v>
      </c>
    </row>
    <row r="69" spans="1:12" hidden="1" x14ac:dyDescent="0.2">
      <c r="A69" s="42">
        <v>67</v>
      </c>
      <c r="B69" s="50" t="s">
        <v>308</v>
      </c>
      <c r="D69" s="41" t="s">
        <v>202</v>
      </c>
      <c r="F69" s="41" t="s">
        <v>202</v>
      </c>
    </row>
    <row r="70" spans="1:12" x14ac:dyDescent="0.2">
      <c r="A70" s="42">
        <v>68</v>
      </c>
      <c r="B70" s="50" t="s">
        <v>288</v>
      </c>
      <c r="C70" s="52" t="s">
        <v>58</v>
      </c>
      <c r="D70" s="41" t="s">
        <v>217</v>
      </c>
      <c r="F70" s="41" t="s">
        <v>217</v>
      </c>
    </row>
    <row r="71" spans="1:12" hidden="1" x14ac:dyDescent="0.2">
      <c r="A71" s="42">
        <v>69</v>
      </c>
      <c r="B71" s="50" t="s">
        <v>308</v>
      </c>
      <c r="D71" s="41" t="s">
        <v>202</v>
      </c>
      <c r="F71" s="41" t="s">
        <v>202</v>
      </c>
    </row>
    <row r="72" spans="1:12" x14ac:dyDescent="0.2">
      <c r="A72" s="42">
        <v>70</v>
      </c>
      <c r="B72" s="50" t="s">
        <v>285</v>
      </c>
      <c r="C72" s="52" t="s">
        <v>52</v>
      </c>
      <c r="D72" s="41" t="s">
        <v>208</v>
      </c>
      <c r="F72" s="41" t="s">
        <v>208</v>
      </c>
    </row>
    <row r="73" spans="1:12" hidden="1" x14ac:dyDescent="0.2">
      <c r="A73" s="42">
        <v>71</v>
      </c>
      <c r="B73" s="50" t="s">
        <v>308</v>
      </c>
      <c r="D73" s="41" t="s">
        <v>202</v>
      </c>
      <c r="F73" s="41" t="s">
        <v>202</v>
      </c>
    </row>
    <row r="74" spans="1:12" x14ac:dyDescent="0.2">
      <c r="A74" s="42">
        <v>72</v>
      </c>
      <c r="B74" s="50" t="s">
        <v>258</v>
      </c>
      <c r="C74" s="52" t="s">
        <v>53</v>
      </c>
      <c r="D74" s="41" t="s">
        <v>208</v>
      </c>
      <c r="F74" s="41" t="s">
        <v>208</v>
      </c>
    </row>
    <row r="75" spans="1:12" x14ac:dyDescent="0.2">
      <c r="A75" s="42">
        <v>73</v>
      </c>
      <c r="B75" s="50" t="s">
        <v>259</v>
      </c>
      <c r="C75" s="52" t="s">
        <v>54</v>
      </c>
      <c r="D75" s="41" t="s">
        <v>208</v>
      </c>
      <c r="F75" s="41" t="s">
        <v>208</v>
      </c>
    </row>
    <row r="76" spans="1:12" hidden="1" x14ac:dyDescent="0.2">
      <c r="A76" s="42">
        <v>74</v>
      </c>
      <c r="B76" s="50" t="s">
        <v>308</v>
      </c>
      <c r="D76" s="41" t="s">
        <v>202</v>
      </c>
      <c r="F76" s="41" t="s">
        <v>202</v>
      </c>
      <c r="L76" s="39" t="s">
        <v>240</v>
      </c>
    </row>
    <row r="77" spans="1:12" x14ac:dyDescent="0.2">
      <c r="A77" s="42">
        <v>75</v>
      </c>
      <c r="B77" s="50" t="s">
        <v>260</v>
      </c>
      <c r="C77" s="52" t="s">
        <v>55</v>
      </c>
      <c r="D77" s="41" t="s">
        <v>208</v>
      </c>
      <c r="F77" s="41" t="s">
        <v>208</v>
      </c>
    </row>
    <row r="78" spans="1:12" hidden="1" x14ac:dyDescent="0.2">
      <c r="A78" s="42">
        <v>76</v>
      </c>
      <c r="B78" s="50" t="s">
        <v>308</v>
      </c>
      <c r="D78" s="41" t="s">
        <v>202</v>
      </c>
      <c r="F78" s="41" t="s">
        <v>202</v>
      </c>
    </row>
    <row r="79" spans="1:12" x14ac:dyDescent="0.2">
      <c r="A79" s="42">
        <v>77</v>
      </c>
      <c r="B79" s="50" t="s">
        <v>261</v>
      </c>
      <c r="C79" s="52" t="s">
        <v>56</v>
      </c>
      <c r="D79" s="41" t="s">
        <v>208</v>
      </c>
      <c r="F79" s="41" t="s">
        <v>208</v>
      </c>
    </row>
    <row r="80" spans="1:12" hidden="1" x14ac:dyDescent="0.2">
      <c r="A80" s="42">
        <v>78</v>
      </c>
      <c r="B80" s="50" t="s">
        <v>308</v>
      </c>
      <c r="D80" s="41" t="s">
        <v>202</v>
      </c>
      <c r="F80" s="41" t="s">
        <v>202</v>
      </c>
    </row>
    <row r="81" spans="1:12" x14ac:dyDescent="0.2">
      <c r="A81" s="42">
        <v>79</v>
      </c>
      <c r="B81" s="50" t="s">
        <v>262</v>
      </c>
      <c r="C81" s="52" t="s">
        <v>57</v>
      </c>
      <c r="D81" s="41" t="s">
        <v>208</v>
      </c>
      <c r="F81" s="41" t="s">
        <v>208</v>
      </c>
    </row>
    <row r="82" spans="1:12" hidden="1" x14ac:dyDescent="0.2">
      <c r="A82" s="42">
        <v>80</v>
      </c>
      <c r="B82" s="50" t="s">
        <v>308</v>
      </c>
      <c r="D82" s="41" t="s">
        <v>202</v>
      </c>
      <c r="F82" s="41" t="s">
        <v>202</v>
      </c>
    </row>
    <row r="83" spans="1:12" x14ac:dyDescent="0.2">
      <c r="A83" s="42">
        <v>81</v>
      </c>
      <c r="B83" s="50" t="s">
        <v>263</v>
      </c>
      <c r="C83" s="52" t="s">
        <v>60</v>
      </c>
      <c r="D83" s="41" t="s">
        <v>216</v>
      </c>
      <c r="F83" s="41" t="s">
        <v>216</v>
      </c>
    </row>
    <row r="84" spans="1:12" hidden="1" x14ac:dyDescent="0.2">
      <c r="A84" s="42">
        <v>82</v>
      </c>
      <c r="B84" s="50" t="s">
        <v>308</v>
      </c>
      <c r="D84" s="41" t="s">
        <v>202</v>
      </c>
      <c r="F84" s="41" t="s">
        <v>202</v>
      </c>
    </row>
    <row r="85" spans="1:12" hidden="1" x14ac:dyDescent="0.2">
      <c r="A85" s="42">
        <v>83</v>
      </c>
      <c r="B85" s="50" t="s">
        <v>308</v>
      </c>
      <c r="D85" s="41" t="s">
        <v>202</v>
      </c>
      <c r="F85" s="41" t="s">
        <v>202</v>
      </c>
    </row>
    <row r="86" spans="1:12" x14ac:dyDescent="0.2">
      <c r="A86" s="42">
        <v>84</v>
      </c>
      <c r="B86" s="50" t="s">
        <v>8</v>
      </c>
      <c r="C86" s="52" t="s">
        <v>6</v>
      </c>
      <c r="D86" s="41" t="s">
        <v>218</v>
      </c>
      <c r="E86" s="50" t="s">
        <v>8</v>
      </c>
      <c r="F86" s="41" t="s">
        <v>218</v>
      </c>
    </row>
    <row r="87" spans="1:12" x14ac:dyDescent="0.2">
      <c r="A87" s="42">
        <v>85</v>
      </c>
      <c r="B87" s="50" t="s">
        <v>264</v>
      </c>
      <c r="C87" s="52" t="s">
        <v>59</v>
      </c>
      <c r="D87" s="41" t="s">
        <v>219</v>
      </c>
      <c r="F87" s="41" t="s">
        <v>219</v>
      </c>
    </row>
    <row r="88" spans="1:12" hidden="1" x14ac:dyDescent="0.2">
      <c r="A88" s="42">
        <v>86</v>
      </c>
      <c r="B88" s="50" t="s">
        <v>308</v>
      </c>
      <c r="D88" s="41" t="s">
        <v>202</v>
      </c>
      <c r="F88" s="41" t="s">
        <v>202</v>
      </c>
    </row>
    <row r="89" spans="1:12" x14ac:dyDescent="0.2">
      <c r="A89" s="42">
        <v>87</v>
      </c>
      <c r="B89" s="50" t="s">
        <v>220</v>
      </c>
      <c r="C89" s="52" t="s">
        <v>61</v>
      </c>
      <c r="D89" s="41" t="s">
        <v>221</v>
      </c>
      <c r="E89" s="50" t="s">
        <v>220</v>
      </c>
      <c r="F89" s="41" t="s">
        <v>221</v>
      </c>
    </row>
    <row r="90" spans="1:12" hidden="1" x14ac:dyDescent="0.2">
      <c r="A90" s="42">
        <v>88</v>
      </c>
      <c r="B90" s="50" t="s">
        <v>308</v>
      </c>
      <c r="D90" s="41" t="s">
        <v>202</v>
      </c>
      <c r="F90" s="41" t="s">
        <v>202</v>
      </c>
    </row>
    <row r="91" spans="1:12" x14ac:dyDescent="0.2">
      <c r="A91" s="42">
        <v>89</v>
      </c>
      <c r="B91" s="50" t="s">
        <v>265</v>
      </c>
      <c r="D91" s="41" t="s">
        <v>202</v>
      </c>
      <c r="L91" s="39" t="s">
        <v>239</v>
      </c>
    </row>
    <row r="92" spans="1:12" x14ac:dyDescent="0.2">
      <c r="A92" s="42">
        <v>90</v>
      </c>
      <c r="B92" s="50" t="s">
        <v>266</v>
      </c>
      <c r="D92" s="41" t="s">
        <v>208</v>
      </c>
    </row>
    <row r="93" spans="1:12" hidden="1" x14ac:dyDescent="0.2">
      <c r="A93" s="42">
        <v>91</v>
      </c>
      <c r="B93" s="50" t="s">
        <v>308</v>
      </c>
      <c r="D93" s="41" t="s">
        <v>202</v>
      </c>
    </row>
    <row r="94" spans="1:12" x14ac:dyDescent="0.2">
      <c r="A94" s="42">
        <v>92</v>
      </c>
      <c r="B94" s="50" t="s">
        <v>267</v>
      </c>
      <c r="D94" s="41" t="s">
        <v>208</v>
      </c>
    </row>
    <row r="95" spans="1:12" x14ac:dyDescent="0.2">
      <c r="A95" s="42">
        <v>93</v>
      </c>
      <c r="B95" s="50" t="s">
        <v>268</v>
      </c>
      <c r="D95" s="41" t="s">
        <v>208</v>
      </c>
    </row>
    <row r="96" spans="1:12" hidden="1" x14ac:dyDescent="0.2">
      <c r="A96" s="42">
        <v>94</v>
      </c>
      <c r="B96" s="50" t="s">
        <v>308</v>
      </c>
      <c r="D96" s="41" t="s">
        <v>202</v>
      </c>
    </row>
    <row r="97" spans="1:12" x14ac:dyDescent="0.2">
      <c r="A97" s="42">
        <v>95</v>
      </c>
      <c r="B97" s="50" t="s">
        <v>269</v>
      </c>
      <c r="D97" s="41" t="s">
        <v>208</v>
      </c>
    </row>
    <row r="98" spans="1:12" hidden="1" x14ac:dyDescent="0.2">
      <c r="A98" s="42">
        <v>96</v>
      </c>
      <c r="B98" s="50" t="s">
        <v>308</v>
      </c>
      <c r="D98" s="41" t="s">
        <v>202</v>
      </c>
    </row>
    <row r="99" spans="1:12" x14ac:dyDescent="0.2">
      <c r="A99" s="42">
        <v>97</v>
      </c>
      <c r="B99" s="50" t="s">
        <v>270</v>
      </c>
      <c r="D99" s="41" t="s">
        <v>208</v>
      </c>
    </row>
    <row r="100" spans="1:12" hidden="1" x14ac:dyDescent="0.2">
      <c r="A100" s="42">
        <v>98</v>
      </c>
      <c r="B100" s="50" t="s">
        <v>308</v>
      </c>
      <c r="D100" s="41" t="s">
        <v>202</v>
      </c>
    </row>
    <row r="101" spans="1:12" x14ac:dyDescent="0.2">
      <c r="A101" s="42">
        <v>99</v>
      </c>
      <c r="B101" s="50" t="s">
        <v>271</v>
      </c>
      <c r="D101" s="41" t="s">
        <v>216</v>
      </c>
    </row>
    <row r="102" spans="1:12" hidden="1" x14ac:dyDescent="0.2">
      <c r="A102" s="42">
        <v>100</v>
      </c>
      <c r="B102" s="50" t="s">
        <v>308</v>
      </c>
      <c r="D102" s="41" t="s">
        <v>202</v>
      </c>
    </row>
    <row r="103" spans="1:12" x14ac:dyDescent="0.2">
      <c r="A103" s="42">
        <v>101</v>
      </c>
      <c r="B103" s="50" t="s">
        <v>272</v>
      </c>
      <c r="D103" s="41" t="s">
        <v>222</v>
      </c>
      <c r="F103" s="41" t="s">
        <v>222</v>
      </c>
    </row>
    <row r="104" spans="1:12" x14ac:dyDescent="0.2">
      <c r="A104" s="42">
        <v>102</v>
      </c>
      <c r="B104" s="50" t="s">
        <v>273</v>
      </c>
      <c r="D104" s="41" t="s">
        <v>223</v>
      </c>
      <c r="F104" s="41" t="s">
        <v>223</v>
      </c>
    </row>
    <row r="105" spans="1:12" x14ac:dyDescent="0.2">
      <c r="A105" s="42">
        <v>103</v>
      </c>
      <c r="B105" s="50" t="s">
        <v>274</v>
      </c>
      <c r="D105" s="41" t="s">
        <v>224</v>
      </c>
      <c r="F105" s="41" t="s">
        <v>224</v>
      </c>
    </row>
    <row r="106" spans="1:12" hidden="1" x14ac:dyDescent="0.2">
      <c r="A106" s="42">
        <v>104</v>
      </c>
      <c r="B106" s="50" t="s">
        <v>308</v>
      </c>
      <c r="D106" s="41" t="s">
        <v>202</v>
      </c>
      <c r="F106" s="41" t="s">
        <v>202</v>
      </c>
      <c r="L106" s="39" t="s">
        <v>241</v>
      </c>
    </row>
    <row r="107" spans="1:12" hidden="1" x14ac:dyDescent="0.2">
      <c r="A107" s="42">
        <v>105</v>
      </c>
      <c r="B107" s="50" t="s">
        <v>308</v>
      </c>
      <c r="D107" s="41" t="s">
        <v>202</v>
      </c>
      <c r="F107" s="41" t="s">
        <v>202</v>
      </c>
    </row>
    <row r="108" spans="1:12" hidden="1" x14ac:dyDescent="0.2">
      <c r="A108" s="42">
        <v>106</v>
      </c>
      <c r="B108" s="50" t="s">
        <v>308</v>
      </c>
      <c r="D108" s="41" t="s">
        <v>202</v>
      </c>
      <c r="F108" s="41" t="s">
        <v>202</v>
      </c>
    </row>
    <row r="109" spans="1:12" x14ac:dyDescent="0.2">
      <c r="A109" s="42">
        <v>107</v>
      </c>
      <c r="B109" s="50" t="s">
        <v>275</v>
      </c>
      <c r="C109" s="52" t="s">
        <v>62</v>
      </c>
      <c r="D109" s="41" t="s">
        <v>208</v>
      </c>
      <c r="F109" s="41" t="s">
        <v>208</v>
      </c>
    </row>
    <row r="110" spans="1:12" hidden="1" x14ac:dyDescent="0.2">
      <c r="A110" s="42">
        <v>108</v>
      </c>
      <c r="B110" s="50" t="s">
        <v>308</v>
      </c>
      <c r="D110" s="41" t="s">
        <v>202</v>
      </c>
      <c r="F110" s="41" t="s">
        <v>202</v>
      </c>
      <c r="L110" s="39" t="s">
        <v>242</v>
      </c>
    </row>
    <row r="111" spans="1:12" x14ac:dyDescent="0.2">
      <c r="A111" s="42">
        <v>109</v>
      </c>
      <c r="B111" s="50" t="s">
        <v>276</v>
      </c>
      <c r="C111" s="52" t="s">
        <v>63</v>
      </c>
      <c r="D111" s="41" t="s">
        <v>208</v>
      </c>
      <c r="F111" s="41" t="s">
        <v>208</v>
      </c>
    </row>
    <row r="112" spans="1:12" hidden="1" x14ac:dyDescent="0.2">
      <c r="A112" s="42">
        <v>110</v>
      </c>
      <c r="B112" s="50" t="s">
        <v>308</v>
      </c>
      <c r="D112" s="41" t="s">
        <v>202</v>
      </c>
      <c r="F112" s="41" t="s">
        <v>202</v>
      </c>
      <c r="L112" s="39" t="s">
        <v>243</v>
      </c>
    </row>
    <row r="113" spans="1:12" x14ac:dyDescent="0.2">
      <c r="A113" s="42">
        <v>111</v>
      </c>
      <c r="B113" s="50" t="s">
        <v>277</v>
      </c>
      <c r="C113" s="52" t="s">
        <v>64</v>
      </c>
      <c r="D113" s="41" t="s">
        <v>208</v>
      </c>
      <c r="F113" s="41" t="s">
        <v>208</v>
      </c>
    </row>
    <row r="114" spans="1:12" hidden="1" x14ac:dyDescent="0.2">
      <c r="A114" s="42">
        <v>112</v>
      </c>
      <c r="B114" s="50" t="s">
        <v>308</v>
      </c>
      <c r="D114" s="41" t="s">
        <v>202</v>
      </c>
      <c r="F114" s="41" t="s">
        <v>202</v>
      </c>
    </row>
    <row r="115" spans="1:12" x14ac:dyDescent="0.2">
      <c r="A115" s="42">
        <v>113</v>
      </c>
      <c r="B115" s="50" t="s">
        <v>278</v>
      </c>
      <c r="C115" s="52" t="s">
        <v>65</v>
      </c>
      <c r="D115" s="41" t="s">
        <v>208</v>
      </c>
      <c r="F115" s="41" t="s">
        <v>208</v>
      </c>
    </row>
    <row r="116" spans="1:12" hidden="1" x14ac:dyDescent="0.2">
      <c r="A116" s="42">
        <v>114</v>
      </c>
      <c r="B116" s="50" t="s">
        <v>308</v>
      </c>
      <c r="D116" s="41" t="s">
        <v>202</v>
      </c>
      <c r="F116" s="41" t="s">
        <v>202</v>
      </c>
      <c r="L116" s="39" t="s">
        <v>244</v>
      </c>
    </row>
    <row r="117" spans="1:12" x14ac:dyDescent="0.2">
      <c r="A117" s="42">
        <v>115</v>
      </c>
      <c r="B117" s="50" t="s">
        <v>279</v>
      </c>
      <c r="C117" s="52" t="s">
        <v>66</v>
      </c>
      <c r="D117" s="41" t="s">
        <v>202</v>
      </c>
      <c r="F117" s="41" t="s">
        <v>202</v>
      </c>
    </row>
    <row r="118" spans="1:12" x14ac:dyDescent="0.2">
      <c r="A118" s="42">
        <v>116</v>
      </c>
      <c r="B118" s="50" t="s">
        <v>280</v>
      </c>
      <c r="C118" s="52" t="s">
        <v>68</v>
      </c>
      <c r="D118" s="41" t="s">
        <v>208</v>
      </c>
      <c r="F118" s="41" t="s">
        <v>208</v>
      </c>
    </row>
    <row r="119" spans="1:12" hidden="1" x14ac:dyDescent="0.2">
      <c r="A119" s="42">
        <v>117</v>
      </c>
      <c r="B119" s="50" t="s">
        <v>308</v>
      </c>
      <c r="D119" s="41" t="s">
        <v>202</v>
      </c>
      <c r="F119" s="41" t="s">
        <v>202</v>
      </c>
    </row>
    <row r="120" spans="1:12" x14ac:dyDescent="0.2">
      <c r="A120" s="42">
        <v>118</v>
      </c>
      <c r="B120" s="50" t="s">
        <v>281</v>
      </c>
      <c r="C120" s="52" t="s">
        <v>67</v>
      </c>
      <c r="D120" s="41" t="s">
        <v>216</v>
      </c>
      <c r="F120" s="41" t="s">
        <v>216</v>
      </c>
    </row>
    <row r="121" spans="1:12" hidden="1" x14ac:dyDescent="0.2">
      <c r="A121" s="42">
        <v>119</v>
      </c>
      <c r="B121" s="50" t="s">
        <v>308</v>
      </c>
      <c r="D121" s="41" t="s">
        <v>202</v>
      </c>
      <c r="F121" s="41" t="s">
        <v>202</v>
      </c>
    </row>
    <row r="122" spans="1:12" hidden="1" x14ac:dyDescent="0.2">
      <c r="A122" s="42">
        <v>120</v>
      </c>
      <c r="B122" s="50" t="s">
        <v>308</v>
      </c>
      <c r="D122" s="41" t="s">
        <v>202</v>
      </c>
      <c r="F122" s="41" t="s">
        <v>202</v>
      </c>
    </row>
    <row r="123" spans="1:12" hidden="1" x14ac:dyDescent="0.2">
      <c r="A123" s="42">
        <v>121</v>
      </c>
      <c r="B123" s="50" t="s">
        <v>308</v>
      </c>
      <c r="D123" s="41" t="s">
        <v>202</v>
      </c>
      <c r="F123" s="41" t="s">
        <v>202</v>
      </c>
      <c r="L123" s="39" t="s">
        <v>239</v>
      </c>
    </row>
    <row r="124" spans="1:12" x14ac:dyDescent="0.2">
      <c r="A124" s="42">
        <v>122</v>
      </c>
      <c r="B124" s="50" t="s">
        <v>283</v>
      </c>
      <c r="C124" s="52" t="s">
        <v>69</v>
      </c>
      <c r="D124" s="41" t="s">
        <v>208</v>
      </c>
      <c r="F124" s="41" t="s">
        <v>208</v>
      </c>
    </row>
    <row r="125" spans="1:12" hidden="1" x14ac:dyDescent="0.2">
      <c r="A125" s="42">
        <v>123</v>
      </c>
      <c r="B125" s="50" t="s">
        <v>308</v>
      </c>
      <c r="D125" s="41" t="s">
        <v>202</v>
      </c>
      <c r="F125" s="41" t="s">
        <v>202</v>
      </c>
    </row>
    <row r="126" spans="1:12" x14ac:dyDescent="0.2">
      <c r="A126" s="42">
        <v>124</v>
      </c>
      <c r="B126" s="50" t="s">
        <v>286</v>
      </c>
      <c r="C126" s="52" t="s">
        <v>70</v>
      </c>
      <c r="D126" s="41" t="s">
        <v>208</v>
      </c>
      <c r="F126" s="41" t="s">
        <v>208</v>
      </c>
    </row>
    <row r="127" spans="1:12" hidden="1" x14ac:dyDescent="0.2">
      <c r="A127" s="42">
        <v>125</v>
      </c>
      <c r="B127" s="50" t="s">
        <v>308</v>
      </c>
      <c r="D127" s="41" t="s">
        <v>202</v>
      </c>
      <c r="F127" s="41" t="s">
        <v>202</v>
      </c>
    </row>
    <row r="128" spans="1:12" x14ac:dyDescent="0.2">
      <c r="A128" s="42">
        <v>126</v>
      </c>
      <c r="B128" s="50" t="s">
        <v>289</v>
      </c>
      <c r="C128" s="52" t="s">
        <v>72</v>
      </c>
      <c r="D128" s="41" t="s">
        <v>217</v>
      </c>
      <c r="F128" s="41" t="s">
        <v>217</v>
      </c>
    </row>
    <row r="129" spans="1:6" hidden="1" x14ac:dyDescent="0.2">
      <c r="A129" s="42">
        <v>127</v>
      </c>
      <c r="B129" s="50" t="s">
        <v>308</v>
      </c>
      <c r="D129" s="41" t="s">
        <v>202</v>
      </c>
      <c r="F129" s="41" t="s">
        <v>202</v>
      </c>
    </row>
    <row r="130" spans="1:6" x14ac:dyDescent="0.2">
      <c r="A130" s="42">
        <v>128</v>
      </c>
      <c r="B130" s="50" t="s">
        <v>287</v>
      </c>
      <c r="C130" s="52" t="s">
        <v>71</v>
      </c>
      <c r="D130" s="41" t="s">
        <v>208</v>
      </c>
      <c r="F130" s="41" t="s">
        <v>208</v>
      </c>
    </row>
    <row r="131" spans="1:6" hidden="1" x14ac:dyDescent="0.2">
      <c r="A131" s="42">
        <v>129</v>
      </c>
      <c r="B131" s="50" t="s">
        <v>308</v>
      </c>
      <c r="D131" s="41" t="s">
        <v>202</v>
      </c>
      <c r="F131" s="41" t="s">
        <v>202</v>
      </c>
    </row>
    <row r="132" spans="1:6" x14ac:dyDescent="0.2">
      <c r="A132" s="42">
        <v>130</v>
      </c>
      <c r="B132" s="50" t="s">
        <v>290</v>
      </c>
      <c r="C132" s="52" t="s">
        <v>73</v>
      </c>
      <c r="D132" s="41" t="s">
        <v>208</v>
      </c>
      <c r="F132" s="41" t="s">
        <v>208</v>
      </c>
    </row>
    <row r="133" spans="1:6" hidden="1" x14ac:dyDescent="0.2">
      <c r="A133" s="42">
        <v>131</v>
      </c>
      <c r="B133" s="50" t="s">
        <v>308</v>
      </c>
      <c r="D133" s="41" t="s">
        <v>202</v>
      </c>
      <c r="F133" s="41" t="s">
        <v>202</v>
      </c>
    </row>
    <row r="134" spans="1:6" x14ac:dyDescent="0.2">
      <c r="A134" s="42">
        <v>132</v>
      </c>
      <c r="B134" s="50" t="s">
        <v>293</v>
      </c>
      <c r="C134" s="52" t="s">
        <v>74</v>
      </c>
      <c r="D134" s="41" t="s">
        <v>208</v>
      </c>
      <c r="F134" s="41" t="s">
        <v>208</v>
      </c>
    </row>
    <row r="135" spans="1:6" hidden="1" x14ac:dyDescent="0.2">
      <c r="A135" s="42">
        <v>133</v>
      </c>
      <c r="B135" s="50" t="s">
        <v>308</v>
      </c>
      <c r="D135" s="41" t="s">
        <v>202</v>
      </c>
      <c r="F135" s="41" t="s">
        <v>202</v>
      </c>
    </row>
    <row r="136" spans="1:6" x14ac:dyDescent="0.2">
      <c r="A136" s="42">
        <v>134</v>
      </c>
      <c r="B136" s="50" t="s">
        <v>294</v>
      </c>
      <c r="C136" s="52" t="s">
        <v>75</v>
      </c>
      <c r="D136" s="41" t="s">
        <v>208</v>
      </c>
      <c r="F136" s="41" t="s">
        <v>208</v>
      </c>
    </row>
    <row r="137" spans="1:6" hidden="1" x14ac:dyDescent="0.2">
      <c r="A137" s="42">
        <v>135</v>
      </c>
      <c r="B137" s="50" t="s">
        <v>308</v>
      </c>
      <c r="D137" s="41" t="s">
        <v>202</v>
      </c>
      <c r="F137" s="41" t="s">
        <v>202</v>
      </c>
    </row>
    <row r="138" spans="1:6" x14ac:dyDescent="0.2">
      <c r="A138" s="42">
        <v>136</v>
      </c>
      <c r="B138" s="50" t="s">
        <v>295</v>
      </c>
      <c r="C138" s="52" t="s">
        <v>76</v>
      </c>
      <c r="D138" s="41" t="s">
        <v>225</v>
      </c>
      <c r="F138" s="41" t="s">
        <v>225</v>
      </c>
    </row>
    <row r="139" spans="1:6" x14ac:dyDescent="0.2">
      <c r="A139" s="42">
        <v>137</v>
      </c>
      <c r="B139" s="50" t="s">
        <v>291</v>
      </c>
      <c r="C139" s="52" t="s">
        <v>77</v>
      </c>
      <c r="D139" s="41" t="s">
        <v>208</v>
      </c>
      <c r="F139" s="41" t="s">
        <v>208</v>
      </c>
    </row>
    <row r="140" spans="1:6" hidden="1" x14ac:dyDescent="0.2">
      <c r="A140" s="42">
        <v>138</v>
      </c>
      <c r="B140" s="50" t="s">
        <v>308</v>
      </c>
      <c r="D140" s="41" t="s">
        <v>202</v>
      </c>
      <c r="F140" s="41" t="s">
        <v>202</v>
      </c>
    </row>
    <row r="141" spans="1:6" x14ac:dyDescent="0.2">
      <c r="A141" s="42">
        <v>139</v>
      </c>
      <c r="B141" s="50" t="s">
        <v>292</v>
      </c>
      <c r="C141" s="52" t="s">
        <v>78</v>
      </c>
      <c r="D141" s="41" t="s">
        <v>216</v>
      </c>
      <c r="F141" s="41" t="s">
        <v>216</v>
      </c>
    </row>
    <row r="142" spans="1:6" hidden="1" x14ac:dyDescent="0.2">
      <c r="A142" s="42">
        <v>140</v>
      </c>
      <c r="B142" s="50" t="s">
        <v>308</v>
      </c>
      <c r="D142" s="41" t="s">
        <v>202</v>
      </c>
      <c r="F142" s="41" t="s">
        <v>202</v>
      </c>
    </row>
    <row r="143" spans="1:6" hidden="1" x14ac:dyDescent="0.2">
      <c r="A143" s="42">
        <v>141</v>
      </c>
      <c r="B143" s="50" t="s">
        <v>308</v>
      </c>
      <c r="D143" s="41" t="s">
        <v>202</v>
      </c>
      <c r="F143" s="41" t="s">
        <v>202</v>
      </c>
    </row>
    <row r="144" spans="1:6" x14ac:dyDescent="0.2">
      <c r="A144" s="42">
        <v>142</v>
      </c>
      <c r="B144" s="50" t="s">
        <v>209</v>
      </c>
      <c r="C144" s="52" t="s">
        <v>5</v>
      </c>
      <c r="D144" s="41" t="s">
        <v>226</v>
      </c>
      <c r="E144" s="50" t="s">
        <v>209</v>
      </c>
      <c r="F144" s="41" t="s">
        <v>226</v>
      </c>
    </row>
    <row r="145" spans="1:12" x14ac:dyDescent="0.2">
      <c r="A145" s="42">
        <v>143</v>
      </c>
      <c r="B145" s="50" t="s">
        <v>296</v>
      </c>
      <c r="C145" s="52" t="s">
        <v>79</v>
      </c>
      <c r="D145" s="41" t="s">
        <v>219</v>
      </c>
      <c r="F145" s="41" t="s">
        <v>219</v>
      </c>
    </row>
    <row r="146" spans="1:12" hidden="1" x14ac:dyDescent="0.2">
      <c r="A146" s="42">
        <v>144</v>
      </c>
      <c r="B146" s="50" t="s">
        <v>308</v>
      </c>
      <c r="D146" s="41" t="s">
        <v>202</v>
      </c>
      <c r="F146" s="41" t="s">
        <v>202</v>
      </c>
    </row>
    <row r="147" spans="1:12" x14ac:dyDescent="0.2">
      <c r="A147" s="42">
        <v>145</v>
      </c>
      <c r="B147" s="50" t="s">
        <v>227</v>
      </c>
      <c r="C147" s="52" t="s">
        <v>80</v>
      </c>
      <c r="D147" s="41" t="s">
        <v>228</v>
      </c>
      <c r="E147" s="50" t="s">
        <v>227</v>
      </c>
      <c r="F147" s="41" t="s">
        <v>228</v>
      </c>
    </row>
    <row r="148" spans="1:12" hidden="1" x14ac:dyDescent="0.2">
      <c r="A148" s="42">
        <v>146</v>
      </c>
      <c r="B148" s="50" t="s">
        <v>308</v>
      </c>
      <c r="D148" s="41" t="s">
        <v>202</v>
      </c>
      <c r="F148" s="41" t="s">
        <v>202</v>
      </c>
    </row>
    <row r="149" spans="1:12" x14ac:dyDescent="0.2">
      <c r="A149" s="42">
        <v>147</v>
      </c>
      <c r="B149" s="50" t="s">
        <v>297</v>
      </c>
      <c r="D149" s="41" t="s">
        <v>222</v>
      </c>
      <c r="F149" s="41" t="s">
        <v>222</v>
      </c>
    </row>
    <row r="150" spans="1:12" x14ac:dyDescent="0.2">
      <c r="A150" s="42">
        <v>148</v>
      </c>
      <c r="B150" s="50" t="s">
        <v>298</v>
      </c>
      <c r="D150" s="41" t="s">
        <v>223</v>
      </c>
      <c r="F150" s="41" t="s">
        <v>223</v>
      </c>
    </row>
    <row r="151" spans="1:12" x14ac:dyDescent="0.2">
      <c r="A151" s="42">
        <v>149</v>
      </c>
      <c r="B151" s="50" t="s">
        <v>299</v>
      </c>
      <c r="D151" s="41" t="s">
        <v>224</v>
      </c>
      <c r="F151" s="41" t="s">
        <v>224</v>
      </c>
    </row>
    <row r="152" spans="1:12" hidden="1" x14ac:dyDescent="0.2">
      <c r="A152" s="42">
        <v>150</v>
      </c>
      <c r="B152" s="50" t="s">
        <v>308</v>
      </c>
      <c r="D152" s="41" t="s">
        <v>202</v>
      </c>
      <c r="F152" s="41" t="s">
        <v>202</v>
      </c>
    </row>
    <row r="153" spans="1:12" hidden="1" x14ac:dyDescent="0.2">
      <c r="A153" s="42">
        <v>151</v>
      </c>
      <c r="B153" s="50" t="s">
        <v>308</v>
      </c>
      <c r="D153" s="41" t="s">
        <v>202</v>
      </c>
      <c r="F153" s="41" t="s">
        <v>202</v>
      </c>
    </row>
    <row r="154" spans="1:12" hidden="1" x14ac:dyDescent="0.2">
      <c r="A154" s="42">
        <v>152</v>
      </c>
      <c r="B154" s="50" t="s">
        <v>308</v>
      </c>
      <c r="D154" s="41" t="s">
        <v>202</v>
      </c>
      <c r="F154" s="41" t="s">
        <v>202</v>
      </c>
    </row>
    <row r="155" spans="1:12" hidden="1" x14ac:dyDescent="0.2">
      <c r="A155" s="42">
        <v>153</v>
      </c>
      <c r="B155" s="50" t="s">
        <v>308</v>
      </c>
      <c r="D155" s="41" t="s">
        <v>202</v>
      </c>
      <c r="F155" s="41" t="s">
        <v>202</v>
      </c>
    </row>
    <row r="156" spans="1:12" hidden="1" x14ac:dyDescent="0.2">
      <c r="A156" s="42">
        <v>154</v>
      </c>
      <c r="B156" s="50" t="s">
        <v>308</v>
      </c>
      <c r="D156" s="41" t="s">
        <v>202</v>
      </c>
      <c r="F156" s="41" t="s">
        <v>202</v>
      </c>
      <c r="L156" s="39" t="s">
        <v>239</v>
      </c>
    </row>
    <row r="157" spans="1:12" x14ac:dyDescent="0.2">
      <c r="A157" s="42">
        <v>155</v>
      </c>
      <c r="B157" s="50" t="s">
        <v>300</v>
      </c>
      <c r="C157" s="52" t="s">
        <v>81</v>
      </c>
      <c r="D157" s="41" t="s">
        <v>208</v>
      </c>
      <c r="F157" s="41" t="s">
        <v>208</v>
      </c>
    </row>
    <row r="158" spans="1:12" hidden="1" x14ac:dyDescent="0.2">
      <c r="A158" s="42">
        <v>156</v>
      </c>
      <c r="B158" s="50" t="s">
        <v>308</v>
      </c>
      <c r="D158" s="41" t="s">
        <v>202</v>
      </c>
      <c r="F158" s="41" t="s">
        <v>202</v>
      </c>
    </row>
    <row r="159" spans="1:12" x14ac:dyDescent="0.2">
      <c r="A159" s="42">
        <v>157</v>
      </c>
      <c r="B159" s="50" t="s">
        <v>301</v>
      </c>
      <c r="C159" s="52" t="s">
        <v>82</v>
      </c>
      <c r="D159" s="41" t="s">
        <v>229</v>
      </c>
      <c r="F159" s="41" t="s">
        <v>229</v>
      </c>
    </row>
    <row r="160" spans="1:12" x14ac:dyDescent="0.2">
      <c r="A160" s="42">
        <v>158</v>
      </c>
      <c r="B160" s="50" t="s">
        <v>302</v>
      </c>
      <c r="D160" s="41" t="s">
        <v>208</v>
      </c>
      <c r="F160" s="41" t="s">
        <v>208</v>
      </c>
    </row>
    <row r="161" spans="1:13" hidden="1" x14ac:dyDescent="0.2">
      <c r="A161" s="42">
        <v>159</v>
      </c>
      <c r="B161" s="50" t="s">
        <v>308</v>
      </c>
      <c r="D161" s="41" t="s">
        <v>202</v>
      </c>
      <c r="F161" s="41" t="s">
        <v>202</v>
      </c>
      <c r="L161" s="39" t="s">
        <v>245</v>
      </c>
    </row>
    <row r="162" spans="1:13" x14ac:dyDescent="0.2">
      <c r="A162" s="42">
        <v>160</v>
      </c>
      <c r="B162" s="50" t="s">
        <v>303</v>
      </c>
      <c r="D162" s="41" t="s">
        <v>230</v>
      </c>
      <c r="F162" s="41" t="s">
        <v>208</v>
      </c>
      <c r="L162" s="39" t="s">
        <v>231</v>
      </c>
      <c r="M162" s="39" t="s">
        <v>232</v>
      </c>
    </row>
    <row r="163" spans="1:13" x14ac:dyDescent="0.2">
      <c r="A163" s="42">
        <v>161</v>
      </c>
      <c r="B163" s="50" t="s">
        <v>304</v>
      </c>
      <c r="C163" s="52" t="s">
        <v>83</v>
      </c>
      <c r="D163" s="41" t="s">
        <v>208</v>
      </c>
      <c r="F163" s="41" t="s">
        <v>202</v>
      </c>
    </row>
    <row r="164" spans="1:13" hidden="1" x14ac:dyDescent="0.2">
      <c r="A164" s="42">
        <v>162</v>
      </c>
      <c r="B164" s="50" t="s">
        <v>308</v>
      </c>
      <c r="D164" s="41" t="s">
        <v>202</v>
      </c>
      <c r="F164" s="41" t="s">
        <v>208</v>
      </c>
    </row>
    <row r="165" spans="1:13" x14ac:dyDescent="0.2">
      <c r="A165" s="42">
        <v>163</v>
      </c>
      <c r="B165" s="50" t="s">
        <v>305</v>
      </c>
      <c r="C165" s="52" t="s">
        <v>84</v>
      </c>
      <c r="D165" s="41" t="s">
        <v>208</v>
      </c>
      <c r="F165" s="41" t="s">
        <v>202</v>
      </c>
    </row>
    <row r="166" spans="1:13" hidden="1" x14ac:dyDescent="0.2">
      <c r="A166" s="42">
        <v>164</v>
      </c>
      <c r="B166" s="50" t="s">
        <v>308</v>
      </c>
      <c r="D166" s="41" t="s">
        <v>202</v>
      </c>
      <c r="F166" s="41" t="s">
        <v>216</v>
      </c>
    </row>
    <row r="167" spans="1:13" x14ac:dyDescent="0.2">
      <c r="A167" s="42">
        <v>165</v>
      </c>
      <c r="B167" s="50" t="s">
        <v>306</v>
      </c>
      <c r="C167" s="52" t="s">
        <v>85</v>
      </c>
      <c r="D167" s="41" t="s">
        <v>208</v>
      </c>
      <c r="F167" s="41" t="s">
        <v>202</v>
      </c>
    </row>
    <row r="168" spans="1:13" hidden="1" x14ac:dyDescent="0.2">
      <c r="A168" s="42">
        <v>166</v>
      </c>
      <c r="B168" s="50" t="s">
        <v>308</v>
      </c>
      <c r="D168" s="41" t="s">
        <v>202</v>
      </c>
    </row>
    <row r="169" spans="1:13" x14ac:dyDescent="0.2">
      <c r="A169" s="42">
        <v>167</v>
      </c>
      <c r="B169" s="50" t="s">
        <v>307</v>
      </c>
      <c r="C169" s="52" t="s">
        <v>86</v>
      </c>
      <c r="D169" s="41" t="s">
        <v>216</v>
      </c>
    </row>
    <row r="170" spans="1:13" hidden="1" x14ac:dyDescent="0.2">
      <c r="A170" s="42">
        <v>168</v>
      </c>
      <c r="B170" s="50" t="s">
        <v>308</v>
      </c>
      <c r="D170" s="41" t="s">
        <v>202</v>
      </c>
    </row>
  </sheetData>
  <autoFilter ref="A2:F170">
    <filterColumn colId="1">
      <customFilters>
        <customFilter operator="notEqual" val=" "/>
      </customFilters>
    </filterColumn>
  </autoFilter>
  <dataValidations count="1">
    <dataValidation type="list" allowBlank="1" showInputMessage="1" showErrorMessage="1" sqref="C3:C170">
      <formula1>bookmarkTitles</formula1>
    </dataValidation>
  </dataValidations>
  <printOptions horizontalCentered="1" gridLines="1"/>
  <pageMargins left="0.25" right="0.25" top="0.75" bottom="0.75" header="0.3" footer="0.3"/>
  <pageSetup paperSize="9" scale="29" fitToHeight="0" orientation="landscape" cellComments="atEnd" horizontalDpi="300" verticalDpi="300" r:id="rId1"/>
  <headerFooter alignWithMargins="0">
    <oddHeader>&amp;L&amp;"Arial,B</oddHeader>
    <oddFooter xml:space="preserve">&amp;C&amp;&amp;L&amp;9Author: &amp;R&amp;9Printed: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9"/>
  <sheetViews>
    <sheetView workbookViewId="0">
      <selection activeCell="A20" sqref="A20"/>
    </sheetView>
  </sheetViews>
  <sheetFormatPr defaultRowHeight="12.75" x14ac:dyDescent="0.2"/>
  <cols>
    <col min="1" max="1" width="76.7109375" bestFit="1" customWidth="1"/>
  </cols>
  <sheetData>
    <row r="1" spans="1:1" x14ac:dyDescent="0.2">
      <c r="A1" t="s">
        <v>4</v>
      </c>
    </row>
    <row r="2" spans="1:1" x14ac:dyDescent="0.2">
      <c r="A2" t="s">
        <v>125</v>
      </c>
    </row>
    <row r="3" spans="1:1" x14ac:dyDescent="0.2">
      <c r="A3" t="s">
        <v>37</v>
      </c>
    </row>
    <row r="4" spans="1:1" x14ac:dyDescent="0.2">
      <c r="A4" t="s">
        <v>38</v>
      </c>
    </row>
    <row r="5" spans="1:1" x14ac:dyDescent="0.2">
      <c r="A5" t="s">
        <v>39</v>
      </c>
    </row>
    <row r="6" spans="1:1" x14ac:dyDescent="0.2">
      <c r="A6" t="s">
        <v>40</v>
      </c>
    </row>
    <row r="7" spans="1:1" x14ac:dyDescent="0.2">
      <c r="A7" t="s">
        <v>41</v>
      </c>
    </row>
    <row r="8" spans="1:1" x14ac:dyDescent="0.2">
      <c r="A8" t="s">
        <v>42</v>
      </c>
    </row>
    <row r="9" spans="1:1" x14ac:dyDescent="0.2">
      <c r="A9" t="s">
        <v>53</v>
      </c>
    </row>
    <row r="10" spans="1:1" x14ac:dyDescent="0.2">
      <c r="A10" t="s">
        <v>44</v>
      </c>
    </row>
    <row r="11" spans="1:1" x14ac:dyDescent="0.2">
      <c r="A11" t="s">
        <v>314</v>
      </c>
    </row>
    <row r="12" spans="1:1" x14ac:dyDescent="0.2">
      <c r="A12" t="s">
        <v>45</v>
      </c>
    </row>
    <row r="13" spans="1:1" x14ac:dyDescent="0.2">
      <c r="A13" t="s">
        <v>3</v>
      </c>
    </row>
    <row r="14" spans="1:1" x14ac:dyDescent="0.2">
      <c r="A14" t="s">
        <v>2</v>
      </c>
    </row>
    <row r="15" spans="1:1" x14ac:dyDescent="0.2">
      <c r="A15" t="s">
        <v>46</v>
      </c>
    </row>
    <row r="16" spans="1:1" x14ac:dyDescent="0.2">
      <c r="A16" t="s">
        <v>47</v>
      </c>
    </row>
    <row r="17" spans="1:1" x14ac:dyDescent="0.2">
      <c r="A17" t="s">
        <v>48</v>
      </c>
    </row>
    <row r="18" spans="1:1" x14ac:dyDescent="0.2">
      <c r="A18" t="s">
        <v>49</v>
      </c>
    </row>
    <row r="19" spans="1:1" x14ac:dyDescent="0.2">
      <c r="A19" t="s">
        <v>50</v>
      </c>
    </row>
    <row r="20" spans="1:1" x14ac:dyDescent="0.2">
      <c r="A20" t="s">
        <v>51</v>
      </c>
    </row>
    <row r="21" spans="1:1" x14ac:dyDescent="0.2">
      <c r="A21" t="s">
        <v>58</v>
      </c>
    </row>
    <row r="22" spans="1:1" x14ac:dyDescent="0.2">
      <c r="A22" t="s">
        <v>52</v>
      </c>
    </row>
    <row r="23" spans="1:1" x14ac:dyDescent="0.2">
      <c r="A23" t="s">
        <v>53</v>
      </c>
    </row>
    <row r="24" spans="1:1" x14ac:dyDescent="0.2">
      <c r="A24" t="s">
        <v>54</v>
      </c>
    </row>
    <row r="25" spans="1:1" x14ac:dyDescent="0.2">
      <c r="A25" t="s">
        <v>55</v>
      </c>
    </row>
    <row r="26" spans="1:1" x14ac:dyDescent="0.2">
      <c r="A26" t="s">
        <v>56</v>
      </c>
    </row>
    <row r="27" spans="1:1" x14ac:dyDescent="0.2">
      <c r="A27" t="s">
        <v>57</v>
      </c>
    </row>
    <row r="28" spans="1:1" x14ac:dyDescent="0.2">
      <c r="A28" t="s">
        <v>60</v>
      </c>
    </row>
    <row r="29" spans="1:1" x14ac:dyDescent="0.2">
      <c r="A29" t="s">
        <v>6</v>
      </c>
    </row>
    <row r="30" spans="1:1" x14ac:dyDescent="0.2">
      <c r="A30" t="s">
        <v>59</v>
      </c>
    </row>
    <row r="31" spans="1:1" x14ac:dyDescent="0.2">
      <c r="A31" t="s">
        <v>61</v>
      </c>
    </row>
    <row r="32" spans="1:1" x14ac:dyDescent="0.2">
      <c r="A32" t="s">
        <v>62</v>
      </c>
    </row>
    <row r="33" spans="1:1" x14ac:dyDescent="0.2">
      <c r="A33" t="s">
        <v>63</v>
      </c>
    </row>
    <row r="34" spans="1:1" x14ac:dyDescent="0.2">
      <c r="A34" t="s">
        <v>64</v>
      </c>
    </row>
    <row r="35" spans="1:1" x14ac:dyDescent="0.2">
      <c r="A35" t="s">
        <v>65</v>
      </c>
    </row>
    <row r="36" spans="1:1" x14ac:dyDescent="0.2">
      <c r="A36" t="s">
        <v>66</v>
      </c>
    </row>
    <row r="37" spans="1:1" x14ac:dyDescent="0.2">
      <c r="A37" t="s">
        <v>68</v>
      </c>
    </row>
    <row r="38" spans="1:1" x14ac:dyDescent="0.2">
      <c r="A38" t="s">
        <v>67</v>
      </c>
    </row>
    <row r="39" spans="1:1" x14ac:dyDescent="0.2">
      <c r="A39" t="s">
        <v>69</v>
      </c>
    </row>
    <row r="40" spans="1:1" x14ac:dyDescent="0.2">
      <c r="A40" t="s">
        <v>70</v>
      </c>
    </row>
    <row r="41" spans="1:1" x14ac:dyDescent="0.2">
      <c r="A41" t="s">
        <v>72</v>
      </c>
    </row>
    <row r="42" spans="1:1" x14ac:dyDescent="0.2">
      <c r="A42" t="s">
        <v>71</v>
      </c>
    </row>
    <row r="43" spans="1:1" x14ac:dyDescent="0.2">
      <c r="A43" t="s">
        <v>73</v>
      </c>
    </row>
    <row r="44" spans="1:1" x14ac:dyDescent="0.2">
      <c r="A44" t="s">
        <v>74</v>
      </c>
    </row>
    <row r="45" spans="1:1" x14ac:dyDescent="0.2">
      <c r="A45" t="s">
        <v>75</v>
      </c>
    </row>
    <row r="46" spans="1:1" x14ac:dyDescent="0.2">
      <c r="A46" t="s">
        <v>76</v>
      </c>
    </row>
    <row r="47" spans="1:1" x14ac:dyDescent="0.2">
      <c r="A47" t="s">
        <v>77</v>
      </c>
    </row>
    <row r="48" spans="1:1" x14ac:dyDescent="0.2">
      <c r="A48" t="s">
        <v>78</v>
      </c>
    </row>
    <row r="49" spans="1:1" x14ac:dyDescent="0.2">
      <c r="A49" t="s">
        <v>5</v>
      </c>
    </row>
    <row r="50" spans="1:1" x14ac:dyDescent="0.2">
      <c r="A50" t="s">
        <v>79</v>
      </c>
    </row>
    <row r="51" spans="1:1" x14ac:dyDescent="0.2">
      <c r="A51" t="s">
        <v>80</v>
      </c>
    </row>
    <row r="52" spans="1:1" x14ac:dyDescent="0.2">
      <c r="A52" t="s">
        <v>81</v>
      </c>
    </row>
    <row r="53" spans="1:1" x14ac:dyDescent="0.2">
      <c r="A53" t="s">
        <v>82</v>
      </c>
    </row>
    <row r="54" spans="1:1" x14ac:dyDescent="0.2">
      <c r="A54" t="s">
        <v>83</v>
      </c>
    </row>
    <row r="55" spans="1:1" x14ac:dyDescent="0.2">
      <c r="A55" t="s">
        <v>84</v>
      </c>
    </row>
    <row r="56" spans="1:1" x14ac:dyDescent="0.2">
      <c r="A56" t="s">
        <v>85</v>
      </c>
    </row>
    <row r="57" spans="1:1" x14ac:dyDescent="0.2">
      <c r="A57" t="s">
        <v>86</v>
      </c>
    </row>
    <row r="58" spans="1:1" x14ac:dyDescent="0.2">
      <c r="A58" t="s">
        <v>87</v>
      </c>
    </row>
    <row r="59" spans="1:1" x14ac:dyDescent="0.2">
      <c r="A59" t="s">
        <v>106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MENU</vt:lpstr>
      <vt:lpstr>ToolRecordBookmarks</vt:lpstr>
      <vt:lpstr>AssetSummary</vt:lpstr>
      <vt:lpstr>Dataload MA-Activity Assocation</vt:lpstr>
      <vt:lpstr>Dataload Capital</vt:lpstr>
      <vt:lpstr>Dataload Rebuildable</vt:lpstr>
      <vt:lpstr>ToolRecordsXML</vt:lpstr>
      <vt:lpstr>ContentControlMap</vt:lpstr>
      <vt:lpstr>BookmarksPreV9</vt:lpstr>
      <vt:lpstr>bookmarkTitles</vt:lpstr>
      <vt:lpstr>ContentControlMap!Print_Titles</vt:lpstr>
      <vt:lpstr>ToolRecordsXML!Print_Titles</vt:lpstr>
    </vt:vector>
  </TitlesOfParts>
  <Company>Cochlear Limited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Doyle</dc:creator>
  <cp:lastModifiedBy>Tom Doyle</cp:lastModifiedBy>
  <dcterms:created xsi:type="dcterms:W3CDTF">2011-11-08T08:18:13Z</dcterms:created>
  <dcterms:modified xsi:type="dcterms:W3CDTF">2013-07-17T00:23:07Z</dcterms:modified>
</cp:coreProperties>
</file>